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ER\Pictures\1A_Berkass\Project Excel\"/>
    </mc:Choice>
  </mc:AlternateContent>
  <xr:revisionPtr revIDLastSave="0" documentId="13_ncr:1_{CBA1B196-668C-4061-8F23-1E4D2014C8A5}" xr6:coauthVersionLast="47" xr6:coauthVersionMax="47" xr10:uidLastSave="{00000000-0000-0000-0000-000000000000}"/>
  <bookViews>
    <workbookView xWindow="-120" yWindow="-120" windowWidth="20730" windowHeight="11760" xr2:uid="{45CDC415-3B6B-40BC-94CF-BBDAEAC7639A}"/>
  </bookViews>
  <sheets>
    <sheet name="Dashboard" sheetId="16" r:id="rId1"/>
    <sheet name="Predeksi" sheetId="24" r:id="rId2"/>
    <sheet name="PivotTable" sheetId="14" r:id="rId3"/>
    <sheet name="Data Clean" sheetId="1" r:id="rId4"/>
    <sheet name="Data Mentah" sheetId="2" r:id="rId5"/>
  </sheets>
  <definedNames>
    <definedName name="Slicer_Kategori_Produk">#N/A</definedName>
    <definedName name="Slicer_Kota">#N/A</definedName>
    <definedName name="Slicer_Metode_Pembayaran">#N/A</definedName>
    <definedName name="Slicer_Years__Tanggal">#N/A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9" i="1" l="1"/>
  <c r="P17" i="1"/>
  <c r="B1" i="16"/>
  <c r="B2" i="16"/>
  <c r="J29" i="16" l="1"/>
  <c r="J30" i="16"/>
  <c r="J31" i="16"/>
  <c r="J32" i="16"/>
  <c r="J33" i="16"/>
  <c r="J34" i="16"/>
  <c r="J35" i="16"/>
  <c r="J36" i="16"/>
  <c r="K29" i="16"/>
  <c r="L33" i="16"/>
  <c r="M30" i="16"/>
  <c r="K31" i="16"/>
  <c r="L35" i="16"/>
  <c r="M32" i="16"/>
  <c r="K30" i="16"/>
  <c r="M31" i="16"/>
  <c r="L36" i="16"/>
  <c r="L30" i="16"/>
  <c r="K35" i="16"/>
  <c r="M36" i="16"/>
  <c r="L29" i="16"/>
  <c r="M33" i="16"/>
  <c r="K34" i="16"/>
  <c r="L31" i="16"/>
  <c r="M35" i="16"/>
  <c r="K36" i="16"/>
  <c r="M29" i="16"/>
  <c r="L34" i="16"/>
  <c r="K32" i="16"/>
  <c r="K33" i="16"/>
  <c r="M34" i="16"/>
  <c r="L32" i="16"/>
  <c r="Q3" i="1" l="1"/>
  <c r="R3" i="1"/>
  <c r="Q4" i="1"/>
  <c r="R4" i="1"/>
  <c r="Q5" i="1"/>
  <c r="R5" i="1"/>
  <c r="Q6" i="1"/>
  <c r="R6" i="1"/>
  <c r="Q7" i="1"/>
  <c r="R7" i="1"/>
  <c r="Q8" i="1"/>
  <c r="R8" i="1"/>
  <c r="Q9" i="1"/>
  <c r="R9" i="1"/>
  <c r="Q10" i="1"/>
  <c r="R10" i="1"/>
  <c r="Q11" i="1"/>
  <c r="R11" i="1"/>
  <c r="Q12" i="1"/>
  <c r="R12" i="1"/>
  <c r="Q13" i="1"/>
  <c r="R13" i="1"/>
  <c r="Q14" i="1"/>
  <c r="R1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M6" i="2"/>
  <c r="M9" i="2"/>
  <c r="M10" i="2"/>
  <c r="M14" i="2"/>
  <c r="M17" i="2"/>
  <c r="M18" i="2"/>
  <c r="M22" i="2"/>
  <c r="M25" i="2"/>
  <c r="M26" i="2"/>
  <c r="M30" i="2"/>
  <c r="M34" i="2"/>
  <c r="M37" i="2"/>
  <c r="M38" i="2"/>
  <c r="M42" i="2"/>
  <c r="M45" i="2"/>
  <c r="M46" i="2"/>
  <c r="M49" i="2"/>
  <c r="M50" i="2"/>
  <c r="M53" i="2"/>
  <c r="M54" i="2"/>
  <c r="M58" i="2"/>
  <c r="M62" i="2"/>
  <c r="M66" i="2"/>
  <c r="M69" i="2"/>
  <c r="M70" i="2"/>
  <c r="M73" i="2"/>
  <c r="M74" i="2"/>
  <c r="M78" i="2"/>
  <c r="M81" i="2"/>
  <c r="M82" i="2"/>
  <c r="M85" i="2"/>
  <c r="M86" i="2"/>
  <c r="M90" i="2"/>
  <c r="M93" i="2"/>
  <c r="M94" i="2"/>
  <c r="M98" i="2"/>
  <c r="M101" i="2"/>
  <c r="M102" i="2"/>
  <c r="M106" i="2"/>
  <c r="M109" i="2"/>
  <c r="M110" i="2"/>
  <c r="M114" i="2"/>
  <c r="M117" i="2"/>
  <c r="M118" i="2"/>
  <c r="M125" i="2"/>
  <c r="M126" i="2"/>
  <c r="M130" i="2"/>
  <c r="M133" i="2"/>
  <c r="M134" i="2"/>
  <c r="M138" i="2"/>
  <c r="M141" i="2"/>
  <c r="M142" i="2"/>
  <c r="M146" i="2"/>
  <c r="M149" i="2"/>
  <c r="M150" i="2"/>
  <c r="M154" i="2"/>
  <c r="M157" i="2"/>
  <c r="M158" i="2"/>
  <c r="M161" i="2"/>
  <c r="M162" i="2"/>
  <c r="M166" i="2"/>
  <c r="M169" i="2"/>
  <c r="M170" i="2"/>
  <c r="M174" i="2"/>
  <c r="M178" i="2"/>
  <c r="M182" i="2"/>
  <c r="M185" i="2"/>
  <c r="M186" i="2"/>
  <c r="M189" i="2"/>
  <c r="M190" i="2"/>
  <c r="M193" i="2"/>
  <c r="M194" i="2"/>
  <c r="M198" i="2"/>
  <c r="M202" i="2"/>
  <c r="M205" i="2"/>
  <c r="M206" i="2"/>
  <c r="M210" i="2"/>
  <c r="M213" i="2"/>
  <c r="M214" i="2"/>
  <c r="M218" i="2"/>
  <c r="M221" i="2"/>
  <c r="M222" i="2"/>
  <c r="M226" i="2"/>
  <c r="M229" i="2"/>
  <c r="M230" i="2"/>
  <c r="M234" i="2"/>
  <c r="M237" i="2"/>
  <c r="M238" i="2"/>
  <c r="M245" i="2"/>
  <c r="M246" i="2"/>
  <c r="M250" i="2"/>
  <c r="M253" i="2"/>
  <c r="M254" i="2"/>
  <c r="M258" i="2"/>
  <c r="M262" i="2"/>
  <c r="M265" i="2"/>
  <c r="M266" i="2"/>
  <c r="M270" i="2"/>
  <c r="M273" i="2"/>
  <c r="M274" i="2"/>
  <c r="M278" i="2"/>
  <c r="M281" i="2"/>
  <c r="M282" i="2"/>
  <c r="M286" i="2"/>
  <c r="M289" i="2"/>
  <c r="M290" i="2"/>
  <c r="M294" i="2"/>
  <c r="M297" i="2"/>
  <c r="M298" i="2"/>
  <c r="M5" i="2"/>
  <c r="M8" i="2"/>
  <c r="M12" i="2"/>
  <c r="M13" i="2"/>
  <c r="M16" i="2"/>
  <c r="M21" i="2"/>
  <c r="M24" i="2"/>
  <c r="M28" i="2"/>
  <c r="M29" i="2"/>
  <c r="M33" i="2"/>
  <c r="M36" i="2"/>
  <c r="M40" i="2"/>
  <c r="M41" i="2"/>
  <c r="M44" i="2"/>
  <c r="M48" i="2"/>
  <c r="M56" i="2"/>
  <c r="M57" i="2"/>
  <c r="M60" i="2"/>
  <c r="M61" i="2"/>
  <c r="M65" i="2"/>
  <c r="M68" i="2"/>
  <c r="M72" i="2"/>
  <c r="M76" i="2"/>
  <c r="M77" i="2"/>
  <c r="M80" i="2"/>
  <c r="M88" i="2"/>
  <c r="M89" i="2"/>
  <c r="M92" i="2"/>
  <c r="M97" i="2"/>
  <c r="M100" i="2"/>
  <c r="M104" i="2"/>
  <c r="M105" i="2"/>
  <c r="M108" i="2"/>
  <c r="M112" i="2"/>
  <c r="M113" i="2"/>
  <c r="M120" i="2"/>
  <c r="M121" i="2"/>
  <c r="M122" i="2"/>
  <c r="M124" i="2"/>
  <c r="M129" i="2"/>
  <c r="M132" i="2"/>
  <c r="M136" i="2"/>
  <c r="M137" i="2"/>
  <c r="M140" i="2"/>
  <c r="M144" i="2"/>
  <c r="M145" i="2"/>
  <c r="M152" i="2"/>
  <c r="M153" i="2"/>
  <c r="M156" i="2"/>
  <c r="M164" i="2"/>
  <c r="M165" i="2"/>
  <c r="M168" i="2"/>
  <c r="M172" i="2"/>
  <c r="M173" i="2"/>
  <c r="M176" i="2"/>
  <c r="M177" i="2"/>
  <c r="M181" i="2"/>
  <c r="M184" i="2"/>
  <c r="M188" i="2"/>
  <c r="M196" i="2"/>
  <c r="M197" i="2"/>
  <c r="M200" i="2"/>
  <c r="M201" i="2"/>
  <c r="M204" i="2"/>
  <c r="M208" i="2"/>
  <c r="M209" i="2"/>
  <c r="M212" i="2"/>
  <c r="M216" i="2"/>
  <c r="M217" i="2"/>
  <c r="M220" i="2"/>
  <c r="M224" i="2"/>
  <c r="M225" i="2"/>
  <c r="M232" i="2"/>
  <c r="M233" i="2"/>
  <c r="M236" i="2"/>
  <c r="M240" i="2"/>
  <c r="M241" i="2"/>
  <c r="M242" i="2"/>
  <c r="M244" i="2"/>
  <c r="M248" i="2"/>
  <c r="M249" i="2"/>
  <c r="M252" i="2"/>
  <c r="M256" i="2"/>
  <c r="M257" i="2"/>
  <c r="M260" i="2"/>
  <c r="M261" i="2"/>
  <c r="M264" i="2"/>
  <c r="M268" i="2"/>
  <c r="M269" i="2"/>
  <c r="M272" i="2"/>
  <c r="M276" i="2"/>
  <c r="M277" i="2"/>
  <c r="M280" i="2"/>
  <c r="M284" i="2"/>
  <c r="M285" i="2"/>
  <c r="M288" i="2"/>
  <c r="M293" i="2"/>
  <c r="M296" i="2"/>
  <c r="M300" i="2"/>
  <c r="M301" i="2"/>
  <c r="M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2"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11" i="2"/>
  <c r="N2" i="2"/>
  <c r="N3" i="2"/>
  <c r="N4" i="2"/>
  <c r="N5" i="2"/>
  <c r="N6" i="2"/>
  <c r="N7" i="2"/>
  <c r="N8" i="2"/>
  <c r="N9" i="2"/>
  <c r="N10"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M3" i="2"/>
  <c r="M4" i="2"/>
  <c r="M7" i="2"/>
  <c r="M11" i="2"/>
  <c r="M15" i="2"/>
  <c r="M19" i="2"/>
  <c r="M20" i="2"/>
  <c r="M23" i="2"/>
  <c r="M27" i="2"/>
  <c r="M31" i="2"/>
  <c r="M32" i="2"/>
  <c r="M35" i="2"/>
  <c r="M39" i="2"/>
  <c r="M43" i="2"/>
  <c r="M47" i="2"/>
  <c r="M51" i="2"/>
  <c r="M52" i="2"/>
  <c r="M55" i="2"/>
  <c r="M59" i="2"/>
  <c r="M63" i="2"/>
  <c r="M64" i="2"/>
  <c r="M67" i="2"/>
  <c r="M71" i="2"/>
  <c r="M75" i="2"/>
  <c r="M79" i="2"/>
  <c r="M83" i="2"/>
  <c r="M84" i="2"/>
  <c r="M87" i="2"/>
  <c r="M91" i="2"/>
  <c r="M95" i="2"/>
  <c r="M96" i="2"/>
  <c r="M99" i="2"/>
  <c r="M103" i="2"/>
  <c r="M107" i="2"/>
  <c r="M111" i="2"/>
  <c r="M115" i="2"/>
  <c r="M116" i="2"/>
  <c r="M119" i="2"/>
  <c r="M123" i="2"/>
  <c r="M127" i="2"/>
  <c r="M128" i="2"/>
  <c r="M131" i="2"/>
  <c r="M135" i="2"/>
  <c r="M139" i="2"/>
  <c r="M143" i="2"/>
  <c r="M147" i="2"/>
  <c r="M148" i="2"/>
  <c r="M151" i="2"/>
  <c r="M155" i="2"/>
  <c r="M159" i="2"/>
  <c r="M160" i="2"/>
  <c r="M163" i="2"/>
  <c r="M167" i="2"/>
  <c r="M171" i="2"/>
  <c r="M175" i="2"/>
  <c r="M179" i="2"/>
  <c r="M180" i="2"/>
  <c r="M183" i="2"/>
  <c r="M187" i="2"/>
  <c r="M191" i="2"/>
  <c r="M192" i="2"/>
  <c r="M195" i="2"/>
  <c r="M199" i="2"/>
  <c r="M203" i="2"/>
  <c r="M207" i="2"/>
  <c r="M211" i="2"/>
  <c r="M215" i="2"/>
  <c r="M219" i="2"/>
  <c r="M223" i="2"/>
  <c r="M227" i="2"/>
  <c r="M228" i="2"/>
  <c r="M231" i="2"/>
  <c r="M235" i="2"/>
  <c r="M239" i="2"/>
  <c r="M243" i="2"/>
  <c r="M247" i="2"/>
  <c r="M251" i="2"/>
  <c r="M255" i="2"/>
  <c r="M259" i="2"/>
  <c r="M263" i="2"/>
  <c r="M267" i="2"/>
  <c r="M271" i="2"/>
  <c r="M275" i="2"/>
  <c r="M279" i="2"/>
  <c r="M283" i="2"/>
  <c r="M287" i="2"/>
  <c r="M291" i="2"/>
  <c r="M292" i="2"/>
  <c r="M295" i="2"/>
  <c r="M299" i="2"/>
  <c r="T13"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W204" i="1" s="1"/>
  <c r="K75" i="1"/>
  <c r="K76" i="1"/>
  <c r="K77" i="1"/>
  <c r="K78" i="1"/>
  <c r="K79" i="1"/>
  <c r="K80" i="1"/>
  <c r="K81" i="1"/>
  <c r="K82" i="1"/>
  <c r="K83" i="1"/>
  <c r="K84" i="1"/>
  <c r="K85" i="1"/>
  <c r="K86" i="1"/>
  <c r="K87" i="1"/>
  <c r="K88" i="1"/>
  <c r="K89" i="1"/>
  <c r="K90" i="1"/>
  <c r="W187" i="1" s="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W30" i="1" s="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I2" i="1"/>
  <c r="J2" i="1" s="1"/>
  <c r="I3" i="1"/>
  <c r="J3" i="1" s="1"/>
  <c r="I4" i="1"/>
  <c r="J4" i="1" s="1"/>
  <c r="I5" i="1"/>
  <c r="J5" i="1" s="1"/>
  <c r="I6" i="1"/>
  <c r="I7" i="1"/>
  <c r="J7" i="1" s="1"/>
  <c r="I8" i="1"/>
  <c r="J8" i="1" s="1"/>
  <c r="I9" i="1"/>
  <c r="J9" i="1" s="1"/>
  <c r="I10" i="1"/>
  <c r="J10" i="1" s="1"/>
  <c r="I11" i="1"/>
  <c r="J11" i="1" s="1"/>
  <c r="I12" i="1"/>
  <c r="J12" i="1" s="1"/>
  <c r="I13" i="1"/>
  <c r="J13" i="1" s="1"/>
  <c r="I14" i="1"/>
  <c r="T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J6" i="1"/>
  <c r="J250" i="1"/>
  <c r="J40" i="1"/>
  <c r="A2" i="16"/>
  <c r="A1" i="16"/>
  <c r="L287" i="1" l="1"/>
  <c r="L271" i="1"/>
  <c r="L247" i="1"/>
  <c r="L279" i="1"/>
  <c r="L239" i="1"/>
  <c r="L301" i="1"/>
  <c r="L297" i="1"/>
  <c r="L293" i="1"/>
  <c r="L289" i="1"/>
  <c r="L285" i="1"/>
  <c r="L281" i="1"/>
  <c r="L277" i="1"/>
  <c r="L273" i="1"/>
  <c r="L269" i="1"/>
  <c r="L265" i="1"/>
  <c r="L261" i="1"/>
  <c r="L257" i="1"/>
  <c r="L253" i="1"/>
  <c r="L249" i="1"/>
  <c r="L245" i="1"/>
  <c r="L241" i="1"/>
  <c r="L237" i="1"/>
  <c r="L233" i="1"/>
  <c r="L229" i="1"/>
  <c r="L225" i="1"/>
  <c r="L221" i="1"/>
  <c r="L217" i="1"/>
  <c r="L213" i="1"/>
  <c r="L209" i="1"/>
  <c r="L205" i="1"/>
  <c r="L201" i="1"/>
  <c r="L197" i="1"/>
  <c r="L193" i="1"/>
  <c r="L189" i="1"/>
  <c r="L185" i="1"/>
  <c r="L181" i="1"/>
  <c r="L177" i="1"/>
  <c r="L173" i="1"/>
  <c r="L169" i="1"/>
  <c r="L165" i="1"/>
  <c r="L161" i="1"/>
  <c r="L157" i="1"/>
  <c r="L153" i="1"/>
  <c r="L149" i="1"/>
  <c r="L145" i="1"/>
  <c r="L141" i="1"/>
  <c r="L137" i="1"/>
  <c r="L133" i="1"/>
  <c r="L129" i="1"/>
  <c r="L125" i="1"/>
  <c r="L121" i="1"/>
  <c r="L117" i="1"/>
  <c r="L113" i="1"/>
  <c r="L109" i="1"/>
  <c r="L105" i="1"/>
  <c r="L101" i="1"/>
  <c r="L97" i="1"/>
  <c r="L93" i="1"/>
  <c r="L89" i="1"/>
  <c r="L85" i="1"/>
  <c r="L81" i="1"/>
  <c r="L77" i="1"/>
  <c r="L73" i="1"/>
  <c r="L69" i="1"/>
  <c r="L65" i="1"/>
  <c r="L61" i="1"/>
  <c r="L57" i="1"/>
  <c r="L53" i="1"/>
  <c r="L49" i="1"/>
  <c r="L45" i="1"/>
  <c r="L41" i="1"/>
  <c r="L37" i="1"/>
  <c r="L33" i="1"/>
  <c r="L29" i="1"/>
  <c r="L25" i="1"/>
  <c r="L21" i="1"/>
  <c r="L17" i="1"/>
  <c r="L13" i="1"/>
  <c r="L9" i="1"/>
  <c r="L5" i="1"/>
  <c r="L295" i="1"/>
  <c r="L263" i="1"/>
  <c r="L300" i="1"/>
  <c r="L296" i="1"/>
  <c r="L292" i="1"/>
  <c r="L288" i="1"/>
  <c r="L284" i="1"/>
  <c r="L280" i="1"/>
  <c r="L276" i="1"/>
  <c r="L272" i="1"/>
  <c r="L268" i="1"/>
  <c r="L264" i="1"/>
  <c r="L260" i="1"/>
  <c r="L256" i="1"/>
  <c r="L252" i="1"/>
  <c r="L248" i="1"/>
  <c r="L244" i="1"/>
  <c r="L240" i="1"/>
  <c r="W65" i="1"/>
  <c r="L236" i="1"/>
  <c r="L232" i="1"/>
  <c r="L228" i="1"/>
  <c r="L224" i="1"/>
  <c r="L220" i="1"/>
  <c r="L216" i="1"/>
  <c r="L212" i="1"/>
  <c r="L208" i="1"/>
  <c r="L204" i="1"/>
  <c r="L200" i="1"/>
  <c r="L196" i="1"/>
  <c r="L192" i="1"/>
  <c r="L255" i="1"/>
  <c r="W102" i="1"/>
  <c r="L231" i="1"/>
  <c r="L223" i="1"/>
  <c r="W53" i="1"/>
  <c r="L215" i="1"/>
  <c r="L203" i="1"/>
  <c r="W32" i="1"/>
  <c r="L199" i="1"/>
  <c r="W170" i="1"/>
  <c r="L191" i="1"/>
  <c r="W91" i="1"/>
  <c r="L183" i="1"/>
  <c r="W116" i="1"/>
  <c r="L175" i="1"/>
  <c r="W148" i="1"/>
  <c r="L167" i="1"/>
  <c r="W153" i="1"/>
  <c r="L163" i="1"/>
  <c r="W73" i="1"/>
  <c r="L155" i="1"/>
  <c r="W108" i="1"/>
  <c r="L147" i="1"/>
  <c r="W151" i="1"/>
  <c r="L139" i="1"/>
  <c r="W47" i="1"/>
  <c r="L131" i="1"/>
  <c r="L119" i="1"/>
  <c r="W152" i="1"/>
  <c r="L111" i="1"/>
  <c r="W155" i="1"/>
  <c r="L107" i="1"/>
  <c r="W233" i="1"/>
  <c r="L95" i="1"/>
  <c r="L87" i="1"/>
  <c r="W182" i="1"/>
  <c r="L79" i="1"/>
  <c r="W97" i="1"/>
  <c r="L71" i="1"/>
  <c r="L63" i="1"/>
  <c r="W21" i="1"/>
  <c r="L59" i="1"/>
  <c r="W177" i="1"/>
  <c r="L51" i="1"/>
  <c r="L47" i="1"/>
  <c r="W90" i="1"/>
  <c r="L43" i="1"/>
  <c r="W203" i="1"/>
  <c r="L39" i="1"/>
  <c r="L35" i="1"/>
  <c r="L31" i="1"/>
  <c r="L23" i="1"/>
  <c r="L19" i="1"/>
  <c r="L15" i="1"/>
  <c r="L11" i="1"/>
  <c r="L7" i="1"/>
  <c r="L3" i="1"/>
  <c r="L299" i="1"/>
  <c r="L291" i="1"/>
  <c r="L283" i="1"/>
  <c r="W197" i="1"/>
  <c r="L275" i="1"/>
  <c r="L267" i="1"/>
  <c r="L259" i="1"/>
  <c r="L251" i="1"/>
  <c r="L243" i="1"/>
  <c r="W219" i="1"/>
  <c r="L235" i="1"/>
  <c r="L227" i="1"/>
  <c r="W171" i="1"/>
  <c r="L219" i="1"/>
  <c r="W95" i="1"/>
  <c r="L211" i="1"/>
  <c r="W205" i="1"/>
  <c r="L207" i="1"/>
  <c r="L195" i="1"/>
  <c r="W52" i="1"/>
  <c r="L187" i="1"/>
  <c r="L179" i="1"/>
  <c r="W18" i="1"/>
  <c r="L171" i="1"/>
  <c r="L159" i="1"/>
  <c r="W217" i="1"/>
  <c r="L151" i="1"/>
  <c r="W31" i="1"/>
  <c r="L143" i="1"/>
  <c r="W145" i="1"/>
  <c r="L135" i="1"/>
  <c r="W70" i="1"/>
  <c r="L127" i="1"/>
  <c r="L123" i="1"/>
  <c r="W5" i="1"/>
  <c r="L115" i="1"/>
  <c r="L103" i="1"/>
  <c r="W69" i="1"/>
  <c r="L99" i="1"/>
  <c r="W110" i="1"/>
  <c r="L91" i="1"/>
  <c r="L83" i="1"/>
  <c r="W46" i="1"/>
  <c r="L75" i="1"/>
  <c r="L67" i="1"/>
  <c r="L55" i="1"/>
  <c r="L27" i="1"/>
  <c r="L298" i="1"/>
  <c r="L294" i="1"/>
  <c r="L290" i="1"/>
  <c r="L286" i="1"/>
  <c r="L282" i="1"/>
  <c r="L278" i="1"/>
  <c r="L274" i="1"/>
  <c r="L270" i="1"/>
  <c r="L266" i="1"/>
  <c r="L262" i="1"/>
  <c r="W138" i="1"/>
  <c r="L258" i="1"/>
  <c r="L254" i="1"/>
  <c r="L250" i="1"/>
  <c r="L246" i="1"/>
  <c r="L242" i="1"/>
  <c r="L238" i="1"/>
  <c r="L234" i="1"/>
  <c r="L230" i="1"/>
  <c r="L226" i="1"/>
  <c r="L222" i="1"/>
  <c r="L218" i="1"/>
  <c r="W229" i="1"/>
  <c r="L214" i="1"/>
  <c r="L210" i="1"/>
  <c r="L206" i="1"/>
  <c r="L202" i="1"/>
  <c r="L198" i="1"/>
  <c r="L194" i="1"/>
  <c r="L190" i="1"/>
  <c r="L186" i="1"/>
  <c r="L182" i="1"/>
  <c r="L178" i="1"/>
  <c r="L174" i="1"/>
  <c r="L170" i="1"/>
  <c r="L166" i="1"/>
  <c r="L162" i="1"/>
  <c r="W208" i="1"/>
  <c r="L158" i="1"/>
  <c r="L154" i="1"/>
  <c r="L150" i="1"/>
  <c r="L146" i="1"/>
  <c r="L142" i="1"/>
  <c r="L138" i="1"/>
  <c r="L134" i="1"/>
  <c r="L130" i="1"/>
  <c r="L126" i="1"/>
  <c r="L122" i="1"/>
  <c r="L118" i="1"/>
  <c r="L114" i="1"/>
  <c r="L110" i="1"/>
  <c r="L106" i="1"/>
  <c r="L102" i="1"/>
  <c r="L98" i="1"/>
  <c r="L94" i="1"/>
  <c r="L86" i="1"/>
  <c r="L82" i="1"/>
  <c r="L78" i="1"/>
  <c r="L70" i="1"/>
  <c r="L66" i="1"/>
  <c r="L62" i="1"/>
  <c r="L58" i="1"/>
  <c r="L54" i="1"/>
  <c r="L50" i="1"/>
  <c r="L46" i="1"/>
  <c r="L42" i="1"/>
  <c r="L38" i="1"/>
  <c r="L34" i="1"/>
  <c r="L30" i="1"/>
  <c r="L26" i="1"/>
  <c r="L22" i="1"/>
  <c r="L18" i="1"/>
  <c r="L14" i="1"/>
  <c r="L10" i="1"/>
  <c r="L6" i="1"/>
  <c r="L2" i="1"/>
  <c r="L188" i="1"/>
  <c r="L184" i="1"/>
  <c r="L180" i="1"/>
  <c r="L176" i="1"/>
  <c r="L172" i="1"/>
  <c r="L168" i="1"/>
  <c r="L164" i="1"/>
  <c r="L160" i="1"/>
  <c r="L156" i="1"/>
  <c r="L152" i="1"/>
  <c r="L148" i="1"/>
  <c r="L144" i="1"/>
  <c r="L140" i="1"/>
  <c r="L136" i="1"/>
  <c r="L132" i="1"/>
  <c r="L128" i="1"/>
  <c r="L124" i="1"/>
  <c r="L120" i="1"/>
  <c r="L116" i="1"/>
  <c r="L112" i="1"/>
  <c r="L108" i="1"/>
  <c r="L104" i="1"/>
  <c r="L100" i="1"/>
  <c r="L96" i="1"/>
  <c r="L92" i="1"/>
  <c r="L88" i="1"/>
  <c r="L84" i="1"/>
  <c r="L80" i="1"/>
  <c r="L76" i="1"/>
  <c r="L72" i="1"/>
  <c r="L68" i="1"/>
  <c r="L64" i="1"/>
  <c r="L60" i="1"/>
  <c r="L56" i="1"/>
  <c r="L52" i="1"/>
  <c r="L48" i="1"/>
  <c r="L44" i="1"/>
  <c r="L40" i="1"/>
  <c r="L36" i="1"/>
  <c r="L32" i="1"/>
  <c r="L28" i="1"/>
  <c r="L24" i="1"/>
  <c r="L20" i="1"/>
  <c r="L16" i="1"/>
  <c r="L12" i="1"/>
  <c r="L8" i="1"/>
  <c r="L4" i="1"/>
  <c r="L90" i="1"/>
  <c r="L74" i="1"/>
  <c r="J119" i="1"/>
  <c r="W154" i="1"/>
  <c r="W196" i="1"/>
  <c r="J103" i="1"/>
  <c r="J55" i="1"/>
  <c r="W168" i="1"/>
  <c r="W158" i="1"/>
  <c r="W37" i="1"/>
  <c r="W221" i="1"/>
  <c r="W15" i="1"/>
  <c r="W200" i="1"/>
  <c r="W51" i="1"/>
  <c r="W72" i="1"/>
  <c r="W209" i="1"/>
  <c r="W115" i="1"/>
  <c r="W27" i="1"/>
  <c r="W162" i="1"/>
  <c r="W181" i="1"/>
  <c r="W45" i="1"/>
  <c r="W67" i="1"/>
  <c r="W214" i="1"/>
  <c r="W2" i="1"/>
  <c r="W186" i="1"/>
  <c r="W173" i="1"/>
  <c r="W59" i="1"/>
  <c r="W86" i="1"/>
  <c r="W206" i="1"/>
  <c r="W29" i="1"/>
  <c r="W142" i="1"/>
  <c r="W189" i="1"/>
  <c r="W60" i="1"/>
  <c r="W82" i="1"/>
  <c r="W215" i="1"/>
  <c r="W111" i="1"/>
  <c r="W16" i="1"/>
  <c r="W146" i="1"/>
  <c r="W198" i="1"/>
  <c r="W66" i="1"/>
  <c r="W89" i="1"/>
  <c r="W232" i="1"/>
  <c r="W105" i="1"/>
  <c r="W13" i="1"/>
  <c r="W164" i="1"/>
  <c r="W174" i="1"/>
  <c r="W50" i="1"/>
  <c r="W88" i="1"/>
  <c r="W224" i="1"/>
  <c r="W103" i="1"/>
  <c r="W34" i="1"/>
  <c r="W144" i="1"/>
  <c r="W169" i="1"/>
  <c r="W64" i="1"/>
  <c r="W87" i="1"/>
  <c r="W212" i="1"/>
  <c r="W101" i="1"/>
  <c r="W25" i="1"/>
  <c r="W195" i="1"/>
  <c r="W137" i="1"/>
  <c r="W49" i="1"/>
  <c r="W94" i="1"/>
  <c r="W226" i="1"/>
  <c r="W113" i="1"/>
  <c r="W176" i="1"/>
  <c r="W238" i="1"/>
  <c r="T11" i="1"/>
  <c r="W114" i="1"/>
  <c r="W201" i="1"/>
  <c r="W43" i="1"/>
  <c r="W228" i="1"/>
  <c r="W76" i="1"/>
  <c r="W231" i="1"/>
  <c r="W133" i="1"/>
  <c r="W4" i="1"/>
  <c r="W194" i="1"/>
  <c r="W136" i="1"/>
  <c r="W40" i="1"/>
  <c r="W85" i="1"/>
  <c r="W3" i="1"/>
  <c r="W180" i="1"/>
  <c r="W141" i="1"/>
  <c r="W62" i="1"/>
  <c r="W79" i="1"/>
  <c r="W220" i="1"/>
  <c r="W131" i="1"/>
  <c r="W19" i="1"/>
  <c r="W167" i="1"/>
  <c r="W160" i="1"/>
  <c r="W38" i="1"/>
  <c r="W77" i="1"/>
  <c r="W234" i="1"/>
  <c r="W24" i="1"/>
  <c r="W184" i="1"/>
  <c r="W61" i="1"/>
  <c r="W80" i="1"/>
  <c r="W210" i="1"/>
  <c r="W118" i="1"/>
  <c r="W33" i="1"/>
  <c r="W143" i="1"/>
  <c r="W139" i="1"/>
  <c r="W68" i="1"/>
  <c r="W132" i="1"/>
  <c r="W22" i="1"/>
  <c r="W172" i="1"/>
  <c r="W202" i="1"/>
  <c r="W58" i="1"/>
  <c r="W83" i="1"/>
  <c r="W218" i="1"/>
  <c r="W127" i="1"/>
  <c r="W12" i="1"/>
  <c r="W175" i="1"/>
  <c r="W39" i="1"/>
  <c r="W92" i="1"/>
  <c r="W222" i="1"/>
  <c r="W20" i="1"/>
  <c r="W75" i="1"/>
  <c r="W240" i="1"/>
  <c r="W225" i="1"/>
  <c r="W183" i="1"/>
  <c r="W122" i="1"/>
  <c r="W41" i="1"/>
  <c r="W6" i="1"/>
  <c r="W124" i="1"/>
  <c r="W35" i="1"/>
  <c r="W125" i="1"/>
  <c r="W165" i="1"/>
  <c r="W42" i="1"/>
  <c r="W14" i="1"/>
  <c r="W179" i="1"/>
  <c r="W106" i="1"/>
  <c r="W9" i="1"/>
  <c r="W121" i="1"/>
  <c r="W126" i="1"/>
  <c r="W159" i="1"/>
  <c r="W57" i="1"/>
  <c r="W84" i="1"/>
  <c r="W120" i="1"/>
  <c r="W8" i="1"/>
  <c r="W134" i="1"/>
  <c r="W207" i="1"/>
  <c r="W130" i="1"/>
  <c r="W23" i="1"/>
  <c r="W147" i="1"/>
  <c r="W190" i="1"/>
  <c r="W55" i="1"/>
  <c r="W93" i="1"/>
  <c r="W112" i="1"/>
  <c r="W185" i="1"/>
  <c r="W178" i="1"/>
  <c r="W54" i="1"/>
  <c r="W74" i="1"/>
  <c r="W223" i="1"/>
  <c r="W117" i="1"/>
  <c r="W26" i="1"/>
  <c r="W193" i="1"/>
  <c r="W199" i="1"/>
  <c r="W48" i="1"/>
  <c r="W96" i="1"/>
  <c r="W107" i="1"/>
  <c r="W7" i="1"/>
  <c r="W157" i="1"/>
  <c r="W150" i="1"/>
  <c r="W36" i="1"/>
  <c r="W98" i="1"/>
  <c r="W216" i="1"/>
  <c r="W100" i="1"/>
  <c r="W11" i="1"/>
  <c r="W135" i="1"/>
  <c r="W161" i="1"/>
  <c r="W63" i="1"/>
  <c r="W99" i="1"/>
  <c r="W227" i="1"/>
  <c r="W123" i="1"/>
  <c r="W17" i="1"/>
  <c r="W149" i="1"/>
  <c r="W56" i="1"/>
  <c r="W128" i="1"/>
  <c r="W28" i="1"/>
  <c r="W191" i="1"/>
  <c r="W188" i="1"/>
  <c r="W44" i="1"/>
  <c r="W71" i="1"/>
  <c r="W230" i="1"/>
  <c r="W129" i="1"/>
  <c r="W10" i="1"/>
  <c r="W166" i="1"/>
  <c r="W140" i="1"/>
  <c r="W78" i="1"/>
  <c r="W119" i="1"/>
  <c r="T15" i="1"/>
  <c r="W211" i="1"/>
  <c r="W163" i="1"/>
  <c r="W81" i="1"/>
  <c r="W109" i="1"/>
  <c r="T4" i="1"/>
  <c r="T7" i="1"/>
  <c r="W235" i="1"/>
  <c r="T19" i="1"/>
  <c r="W213" i="1"/>
  <c r="W237" i="1"/>
  <c r="T2" i="1"/>
  <c r="W104" i="1"/>
  <c r="W241" i="1"/>
  <c r="T5" i="1"/>
  <c r="W236" i="1"/>
  <c r="W192" i="1"/>
  <c r="W156" i="1"/>
  <c r="T18" i="1"/>
  <c r="T3" i="1"/>
  <c r="W239" i="1"/>
  <c r="T20" i="1"/>
  <c r="T6" i="1"/>
  <c r="T12" i="1"/>
  <c r="T9" i="1"/>
  <c r="J14" i="1"/>
  <c r="I303" i="1" l="1"/>
</calcChain>
</file>

<file path=xl/sharedStrings.xml><?xml version="1.0" encoding="utf-8"?>
<sst xmlns="http://schemas.openxmlformats.org/spreadsheetml/2006/main" count="4506" uniqueCount="1610">
  <si>
    <t>Tanggal</t>
  </si>
  <si>
    <t>ID_Transaksi</t>
  </si>
  <si>
    <t>Nama_Toko</t>
  </si>
  <si>
    <t>Kategori_Produk</t>
  </si>
  <si>
    <t>Nama Produk</t>
  </si>
  <si>
    <t>Qty</t>
  </si>
  <si>
    <t>Total_Penjualan</t>
  </si>
  <si>
    <t>Kota</t>
  </si>
  <si>
    <t>Metode_Pembayaran</t>
  </si>
  <si>
    <t>Total Penjualan</t>
  </si>
  <si>
    <t>INV-1001</t>
  </si>
  <si>
    <t>Toko Berkah</t>
  </si>
  <si>
    <t>Makanan</t>
  </si>
  <si>
    <t>Mie Instan Rasa Ayam</t>
  </si>
  <si>
    <t>Jakarta</t>
  </si>
  <si>
    <t>Tunai</t>
  </si>
  <si>
    <t>Jumlah Transaksi</t>
  </si>
  <si>
    <t>TRX-1002</t>
  </si>
  <si>
    <t>Supermarket Indah</t>
  </si>
  <si>
    <t>Minuman</t>
  </si>
  <si>
    <t>Air Mineral Botol 600Ml</t>
  </si>
  <si>
    <t>Bandung</t>
  </si>
  <si>
    <t>Kartu Debit</t>
  </si>
  <si>
    <t>Rata-Rata Trasanksi</t>
  </si>
  <si>
    <t>INV-1003</t>
  </si>
  <si>
    <t>Grosir Maju Jaya</t>
  </si>
  <si>
    <t>Elektronik</t>
  </si>
  <si>
    <t>Lampu Led 10 Watt</t>
  </si>
  <si>
    <t>Surabaya</t>
  </si>
  <si>
    <t>Kartu Kredit</t>
  </si>
  <si>
    <t>Penjualan Terbesar</t>
  </si>
  <si>
    <t>TRX-1004</t>
  </si>
  <si>
    <t>Warung Jujur</t>
  </si>
  <si>
    <t>Kecantikan</t>
  </si>
  <si>
    <t>Sabun Mandi Cair 500Ml</t>
  </si>
  <si>
    <t>Jakarta Pusat</t>
  </si>
  <si>
    <t>INV-1005</t>
  </si>
  <si>
    <t>Toko Abadi</t>
  </si>
  <si>
    <t>Kopi Robusta 250G</t>
  </si>
  <si>
    <t>Depok</t>
  </si>
  <si>
    <t>Total Penjualan per Kategori</t>
  </si>
  <si>
    <t>TRX-1006</t>
  </si>
  <si>
    <t>Pasar Jaya</t>
  </si>
  <si>
    <t>Pakaian</t>
  </si>
  <si>
    <t>Kaos Oblong Pria</t>
  </si>
  <si>
    <t>Medan</t>
  </si>
  <si>
    <t>INV-1007</t>
  </si>
  <si>
    <t>Minimarket Sejahtera</t>
  </si>
  <si>
    <t>Mainan</t>
  </si>
  <si>
    <t>Mobil Mainan Plastik</t>
  </si>
  <si>
    <t>TRX-1008</t>
  </si>
  <si>
    <t>Toko Sari</t>
  </si>
  <si>
    <t>Snack Keripik Kentang</t>
  </si>
  <si>
    <t>Semarang</t>
  </si>
  <si>
    <t>INV-1009</t>
  </si>
  <si>
    <t>Teh Celup Kotak Kecil</t>
  </si>
  <si>
    <t>INV-1010</t>
  </si>
  <si>
    <t>Toko Sembako</t>
  </si>
  <si>
    <t>Baterai Aa Pack 4</t>
  </si>
  <si>
    <t>Denpasar</t>
  </si>
  <si>
    <t>TRX-1011</t>
  </si>
  <si>
    <t>Warung Depan</t>
  </si>
  <si>
    <t>Shampoo Anti Ketombe</t>
  </si>
  <si>
    <t>Jakarta Barat</t>
  </si>
  <si>
    <t>INV-1012</t>
  </si>
  <si>
    <t>Toko Hoki</t>
  </si>
  <si>
    <t>Biskuit Rasa Coklat</t>
  </si>
  <si>
    <t>Malang</t>
  </si>
  <si>
    <t>TRX-1013</t>
  </si>
  <si>
    <t>Pasar Rame</t>
  </si>
  <si>
    <t>Celana Jeans Biru</t>
  </si>
  <si>
    <t>Yogyakarta</t>
  </si>
  <si>
    <t>Total Penjualan Per Kota</t>
  </si>
  <si>
    <t>INV-1014</t>
  </si>
  <si>
    <t>Grosir Laris</t>
  </si>
  <si>
    <t>Boneka Barbie Original</t>
  </si>
  <si>
    <t>TRX-1015</t>
  </si>
  <si>
    <t>Minimarket Cepat</t>
  </si>
  <si>
    <t>Sereal Sarapan Kotak</t>
  </si>
  <si>
    <t>INV-1016</t>
  </si>
  <si>
    <t>Toko Murni</t>
  </si>
  <si>
    <t>Jus Buah Segar 1L</t>
  </si>
  <si>
    <t>TRX-1017</t>
  </si>
  <si>
    <t>Warung Santai</t>
  </si>
  <si>
    <t>Kabel Data Usb C</t>
  </si>
  <si>
    <t>INV-1018</t>
  </si>
  <si>
    <t>Gudang Besar</t>
  </si>
  <si>
    <t>Lipstik Warna Merah</t>
  </si>
  <si>
    <t>TRX-1019</t>
  </si>
  <si>
    <t>Tepung Terigu 1 Kg</t>
  </si>
  <si>
    <t>INV-1020</t>
  </si>
  <si>
    <t>Pasar Pagi</t>
  </si>
  <si>
    <t>Kemeja Batik Lengan Panjang</t>
  </si>
  <si>
    <t>Jakarta Selatan</t>
  </si>
  <si>
    <t>TRX-1021</t>
  </si>
  <si>
    <t>Minimarket Istimewa</t>
  </si>
  <si>
    <t>Puzzle Kayu Edukasi</t>
  </si>
  <si>
    <t>INV-1022</t>
  </si>
  <si>
    <t>Toko Serba Ada</t>
  </si>
  <si>
    <t>Telur Ayam Ras Pack 10</t>
  </si>
  <si>
    <t>TRX-1023</t>
  </si>
  <si>
    <t>Grosir Murah Banget</t>
  </si>
  <si>
    <t>Susu Uht Full Cream 1L</t>
  </si>
  <si>
    <t>INV-1024</t>
  </si>
  <si>
    <t>Warung Pojok</t>
  </si>
  <si>
    <t>Power Bank 10000Mah</t>
  </si>
  <si>
    <t>TRX-1025</t>
  </si>
  <si>
    <t>Gudang Cepat</t>
  </si>
  <si>
    <t>Pelembab Wajah Siang</t>
  </si>
  <si>
    <t>INV-1026</t>
  </si>
  <si>
    <t>Toko Lengkap</t>
  </si>
  <si>
    <t>Gula Pasir 1 Kg</t>
  </si>
  <si>
    <t>TRX-1027</t>
  </si>
  <si>
    <t>Pasar Malam</t>
  </si>
  <si>
    <t>Sepatu Sneaker Kasual</t>
  </si>
  <si>
    <t>Total Penjualan per Toko</t>
  </si>
  <si>
    <t>INV-1028</t>
  </si>
  <si>
    <t>Minimarket Tepat</t>
  </si>
  <si>
    <t>Set Mainan Masak-Masakan</t>
  </si>
  <si>
    <t>Grosir Abadi</t>
  </si>
  <si>
    <t>TRX-1029</t>
  </si>
  <si>
    <t>Toko Bersama</t>
  </si>
  <si>
    <t>Roti Tawar Gandum</t>
  </si>
  <si>
    <t>Grosir Andal</t>
  </si>
  <si>
    <t>INV-1030</t>
  </si>
  <si>
    <t>Grosir Hebat</t>
  </si>
  <si>
    <t>Kopi Bubuk Hitam 100G</t>
  </si>
  <si>
    <t>Grosir Baru</t>
  </si>
  <si>
    <t>TRX-1031</t>
  </si>
  <si>
    <t>Warung Kita</t>
  </si>
  <si>
    <t>Headset Bluetooth</t>
  </si>
  <si>
    <t>Grosir Bersama</t>
  </si>
  <si>
    <t>TRX-1032</t>
  </si>
  <si>
    <t>Gudang Kecil</t>
  </si>
  <si>
    <t>Parfum Wanita Edp 50Ml</t>
  </si>
  <si>
    <t>Grosir Cepat</t>
  </si>
  <si>
    <t>INV-1033</t>
  </si>
  <si>
    <t>Toko Maju</t>
  </si>
  <si>
    <t>Keju Cheddar Blok</t>
  </si>
  <si>
    <t>Grosir Dunia</t>
  </si>
  <si>
    <t>TRX-1034</t>
  </si>
  <si>
    <t>Pasar Senja</t>
  </si>
  <si>
    <t>Daster Ibu Hamil</t>
  </si>
  <si>
    <t>Grosir Emas</t>
  </si>
  <si>
    <t>INV-1035</t>
  </si>
  <si>
    <t>Minimarket Sinar</t>
  </si>
  <si>
    <t>Kolam Renang Karet Anak</t>
  </si>
  <si>
    <t>TRX-1036</t>
  </si>
  <si>
    <t>Toko Bahagia</t>
  </si>
  <si>
    <t>Coklat Batangan Import</t>
  </si>
  <si>
    <t>Grosir Hemat</t>
  </si>
  <si>
    <t>INV-1037</t>
  </si>
  <si>
    <t>Minuman Energi Kaleng</t>
  </si>
  <si>
    <t>Grosir Hemat Banget</t>
  </si>
  <si>
    <t>TRX-1038</t>
  </si>
  <si>
    <t>Warung Asri</t>
  </si>
  <si>
    <t>Mouse Wireless</t>
  </si>
  <si>
    <t>Grosir Kiloan</t>
  </si>
  <si>
    <t>INV-1039</t>
  </si>
  <si>
    <t>Gudang Baru</t>
  </si>
  <si>
    <t>Masker Wajah Sheet</t>
  </si>
  <si>
    <t>Grosir Lama</t>
  </si>
  <si>
    <t>TRX-1040</t>
  </si>
  <si>
    <t>Toko Sentral</t>
  </si>
  <si>
    <t>Kerupuk Udang</t>
  </si>
  <si>
    <t>INV-1041</t>
  </si>
  <si>
    <t>Pasar Subuh</t>
  </si>
  <si>
    <t>Sandal Jepit Casual</t>
  </si>
  <si>
    <t>Grosir Maju</t>
  </si>
  <si>
    <t>TRX-1042</t>
  </si>
  <si>
    <t>Minimarket Rakyat</t>
  </si>
  <si>
    <t>Balon Udara Mainan</t>
  </si>
  <si>
    <t>Grosir Makmur</t>
  </si>
  <si>
    <t>INV-1043</t>
  </si>
  <si>
    <t>Toko Kreatif</t>
  </si>
  <si>
    <t>Nasi Instan Siap Saji</t>
  </si>
  <si>
    <t>Grosir Mantap</t>
  </si>
  <si>
    <t>TRX-1044</t>
  </si>
  <si>
    <t>Grosir Pusat</t>
  </si>
  <si>
    <t>Soda Rasa Lemon</t>
  </si>
  <si>
    <t>Grosir Mega</t>
  </si>
  <si>
    <t>INV-1045</t>
  </si>
  <si>
    <t>Warung Sehat</t>
  </si>
  <si>
    <t>Tripod Kamera Mini</t>
  </si>
  <si>
    <t>Grosir Mulia</t>
  </si>
  <si>
    <t>TRX-1046</t>
  </si>
  <si>
    <t>Eyeliner Waterproof</t>
  </si>
  <si>
    <t>TRX-1047</t>
  </si>
  <si>
    <t>Toko Murah</t>
  </si>
  <si>
    <t>Saus Tomat Botol</t>
  </si>
  <si>
    <t>Grosir Pangan</t>
  </si>
  <si>
    <t>INV-1048</t>
  </si>
  <si>
    <t>Pasar Ceriam</t>
  </si>
  <si>
    <t>Rok Plisket Wanita</t>
  </si>
  <si>
    <t>Grosir Penuh</t>
  </si>
  <si>
    <t>TRX-1049</t>
  </si>
  <si>
    <t>Minimarket Bersama</t>
  </si>
  <si>
    <t>Mainan Pasir Kinetik</t>
  </si>
  <si>
    <t>Grosir Pertiwi</t>
  </si>
  <si>
    <t>INV-1050</t>
  </si>
  <si>
    <t>Toko Nyaman</t>
  </si>
  <si>
    <t>Kacang Panggang Kaleng</t>
  </si>
  <si>
    <t>Grosir Pintar</t>
  </si>
  <si>
    <t>TRX-1051</t>
  </si>
  <si>
    <t>Sari Kedelai Botol</t>
  </si>
  <si>
    <t>INV-1052</t>
  </si>
  <si>
    <t>Warung Damai</t>
  </si>
  <si>
    <t>Power Strip 5 Lubang</t>
  </si>
  <si>
    <t>Grosir Pusat Kota</t>
  </si>
  <si>
    <t>TRX-1053</t>
  </si>
  <si>
    <t>Gudang Canggih</t>
  </si>
  <si>
    <t>Hair Dryer Portable</t>
  </si>
  <si>
    <t>Grosir Sakti</t>
  </si>
  <si>
    <t>INV-1054</t>
  </si>
  <si>
    <t>Toko Sukses</t>
  </si>
  <si>
    <t>Mie Goreng Instan</t>
  </si>
  <si>
    <t>Grosir Segar</t>
  </si>
  <si>
    <t>TRX-1055</t>
  </si>
  <si>
    <t>Pasar Sentral</t>
  </si>
  <si>
    <t>Jilbab Segi Empat Polos</t>
  </si>
  <si>
    <t>Grosir Sempurna</t>
  </si>
  <si>
    <t>INV-1056</t>
  </si>
  <si>
    <t>Minimarket Pintar</t>
  </si>
  <si>
    <t>Skuter Anak Roda Tiga</t>
  </si>
  <si>
    <t>Grosir Senja</t>
  </si>
  <si>
    <t>TRX-1057</t>
  </si>
  <si>
    <t>Toko Rizki</t>
  </si>
  <si>
    <t>Rendang Instan Kaleng</t>
  </si>
  <si>
    <t>Grosir Tani</t>
  </si>
  <si>
    <t>INV-1058</t>
  </si>
  <si>
    <t>Teh Hijau Botol 350Ml</t>
  </si>
  <si>
    <t>Grosir Terdepan</t>
  </si>
  <si>
    <t>TRX-1059</t>
  </si>
  <si>
    <t>Warung Jaya</t>
  </si>
  <si>
    <t>Speaker Bluetooth Kecil</t>
  </si>
  <si>
    <t>Grosir Terlaris</t>
  </si>
  <si>
    <t>INV-1060</t>
  </si>
  <si>
    <t>Gudang Utama</t>
  </si>
  <si>
    <t>Cat Kuku Warna Pastel</t>
  </si>
  <si>
    <t>Grosir Terpercaya</t>
  </si>
  <si>
    <t>TRX-1061</t>
  </si>
  <si>
    <t>Toko Sejahtera</t>
  </si>
  <si>
    <t>Minyak Goreng 2L</t>
  </si>
  <si>
    <t>Grosir Utama</t>
  </si>
  <si>
    <t>INV-1062</t>
  </si>
  <si>
    <t>Pasar Raya</t>
  </si>
  <si>
    <t>Topi Baseball Dewasa</t>
  </si>
  <si>
    <t>Gudang Asri</t>
  </si>
  <si>
    <t>TRX-1063</t>
  </si>
  <si>
    <t>Minimarket Modern</t>
  </si>
  <si>
    <t>Lego Set Bangunan Kota</t>
  </si>
  <si>
    <t>Gudang Barat</t>
  </si>
  <si>
    <t>INV-1064</t>
  </si>
  <si>
    <t>Toko Makmur</t>
  </si>
  <si>
    <t>Bumbu Instan Nasi Goreng</t>
  </si>
  <si>
    <t>Gudang Barokah</t>
  </si>
  <si>
    <t>TRX-1065</t>
  </si>
  <si>
    <t>Kopi Instan Sachet Pack</t>
  </si>
  <si>
    <t>INV-1066</t>
  </si>
  <si>
    <t>Warung Baru</t>
  </si>
  <si>
    <t>Lampu Emergency Led</t>
  </si>
  <si>
    <t>Gudang Baru Lagi</t>
  </si>
  <si>
    <t>TRX-1067</t>
  </si>
  <si>
    <t>Gudang Pemasok</t>
  </si>
  <si>
    <t>Sabun Cuci Muka Pria</t>
  </si>
  <si>
    <t>Gudang Berkah</t>
  </si>
  <si>
    <t>TRX-1068</t>
  </si>
  <si>
    <t>Toko Ceria</t>
  </si>
  <si>
    <t>Margarin Kemasan Kecil</t>
  </si>
  <si>
    <t>INV-1069</t>
  </si>
  <si>
    <t>Pasar Sore</t>
  </si>
  <si>
    <t>Kaus Kaki Sport</t>
  </si>
  <si>
    <t>Gudang Besar Sekali</t>
  </si>
  <si>
    <t>TRX-1070</t>
  </si>
  <si>
    <t>Minimarket Tumbuh</t>
  </si>
  <si>
    <t>Bola Kaki Standar</t>
  </si>
  <si>
    <t>INV-1071</t>
  </si>
  <si>
    <t>Toko Unggul</t>
  </si>
  <si>
    <t>Sosis Sapi Kemasan</t>
  </si>
  <si>
    <t>TRX-1072</t>
  </si>
  <si>
    <t>Sirup Rasa Mangga Botol</t>
  </si>
  <si>
    <t>Gudang Emas</t>
  </si>
  <si>
    <t>INV-1073</t>
  </si>
  <si>
    <t>Warung Bahagia</t>
  </si>
  <si>
    <t>Stabilizer Hp Genggam</t>
  </si>
  <si>
    <t>Gudang Indah</t>
  </si>
  <si>
    <t>TRX-1074</t>
  </si>
  <si>
    <t>Toner Wajah Hydrating</t>
  </si>
  <si>
    <t>Gudang Jaya Abadi</t>
  </si>
  <si>
    <t>INV-1075</t>
  </si>
  <si>
    <t>Toko Mega</t>
  </si>
  <si>
    <t>Teh Kotak 1 L</t>
  </si>
  <si>
    <t>TRX-1076</t>
  </si>
  <si>
    <t>Pasar Induk</t>
  </si>
  <si>
    <t>Tas Ransel Laptop</t>
  </si>
  <si>
    <t>Gudang Lama</t>
  </si>
  <si>
    <t>INV-1077</t>
  </si>
  <si>
    <t>Minimarket Laris</t>
  </si>
  <si>
    <t>Drone Mini Kamera Hd</t>
  </si>
  <si>
    <t>Gudang Lancar</t>
  </si>
  <si>
    <t>TRX-1078</t>
  </si>
  <si>
    <t>Toko Pilihan</t>
  </si>
  <si>
    <t>Es Krim Cup Kecil</t>
  </si>
  <si>
    <t>Gudang Makmur</t>
  </si>
  <si>
    <t>INV-1079</t>
  </si>
  <si>
    <t>Coklat Panas Sachet</t>
  </si>
  <si>
    <t>Gudang Mega</t>
  </si>
  <si>
    <t>TRX-1080</t>
  </si>
  <si>
    <t>Warung Nusa</t>
  </si>
  <si>
    <t>Smartwatch Fitness</t>
  </si>
  <si>
    <t>Gudang Muda</t>
  </si>
  <si>
    <t>INV-1081</t>
  </si>
  <si>
    <t>Gudang Pelangi</t>
  </si>
  <si>
    <t>Serum Rambut Anti Frizz</t>
  </si>
  <si>
    <t>Gudang Paling Murah</t>
  </si>
  <si>
    <t>TRX-1082</t>
  </si>
  <si>
    <t>Toko Hebat</t>
  </si>
  <si>
    <t>Biji Kopi Arabika</t>
  </si>
  <si>
    <t>INV-1083</t>
  </si>
  <si>
    <t>Pasar Terang</t>
  </si>
  <si>
    <t>Jas Hujan Dewasa</t>
  </si>
  <si>
    <t>Gudang Pelita</t>
  </si>
  <si>
    <t>TRX-1084</t>
  </si>
  <si>
    <t>Minimarket Prima</t>
  </si>
  <si>
    <t>Action Figure Karakter</t>
  </si>
  <si>
    <t>INV-1085</t>
  </si>
  <si>
    <t>Toko Damai</t>
  </si>
  <si>
    <t>Pasta Gigi Herbal Besar</t>
  </si>
  <si>
    <t>Gudang Pintar</t>
  </si>
  <si>
    <t>TRX-1086</t>
  </si>
  <si>
    <t>Air Soda Kaleng Import</t>
  </si>
  <si>
    <t>Gudang Rahmat</t>
  </si>
  <si>
    <t>INV-1087</t>
  </si>
  <si>
    <t>Warung Nyaman</t>
  </si>
  <si>
    <t>Keyboard Gaming Mekanik</t>
  </si>
  <si>
    <t>Gudang Selatan</t>
  </si>
  <si>
    <t>TRX-1088</t>
  </si>
  <si>
    <t>Cream Pemutih Badan</t>
  </si>
  <si>
    <t>Gudang Serba Ada</t>
  </si>
  <si>
    <t>TRX-1089</t>
  </si>
  <si>
    <t>Toko Rapi</t>
  </si>
  <si>
    <t>Telur Ayam Kampung Pack</t>
  </si>
  <si>
    <t>Gudang Timur</t>
  </si>
  <si>
    <t>INV-1090</t>
  </si>
  <si>
    <t>Pasar Mekar</t>
  </si>
  <si>
    <t>Blouse Wanita Motif Bunga</t>
  </si>
  <si>
    <t>TRX-1091</t>
  </si>
  <si>
    <t>Minimarket Akbar</t>
  </si>
  <si>
    <t>Pistol Air Mainan Besar</t>
  </si>
  <si>
    <t>Gudang Utama Jaya</t>
  </si>
  <si>
    <t>INV-1092</t>
  </si>
  <si>
    <t>Toko Mulia</t>
  </si>
  <si>
    <t>Cuka Dapur Botol</t>
  </si>
  <si>
    <t>Gudang Utara</t>
  </si>
  <si>
    <t>TRX-1093</t>
  </si>
  <si>
    <t>Es Kopi Susu Kemasan</t>
  </si>
  <si>
    <t>Minimarket Adil</t>
  </si>
  <si>
    <t>INV-1094</t>
  </si>
  <si>
    <t>Warung Serasi</t>
  </si>
  <si>
    <t>Kipas Angin Portable</t>
  </si>
  <si>
    <t>TRX-1095</t>
  </si>
  <si>
    <t>Kutek Warna Gel</t>
  </si>
  <si>
    <t>Minimarket Andal</t>
  </si>
  <si>
    <t>INV-1096</t>
  </si>
  <si>
    <t>Toko Lancar</t>
  </si>
  <si>
    <t>Roti Isi Daging</t>
  </si>
  <si>
    <t>Minimarket Berkah</t>
  </si>
  <si>
    <t>TRX-1097</t>
  </si>
  <si>
    <t>Pasar Sejuk</t>
  </si>
  <si>
    <t>Kacamata Hitam Fashion</t>
  </si>
  <si>
    <t>INV-1098</t>
  </si>
  <si>
    <t>Set Alat Dokter Mainan</t>
  </si>
  <si>
    <t>Minimarket Bersinar</t>
  </si>
  <si>
    <t>TRX-1099</t>
  </si>
  <si>
    <t>Toko Baru</t>
  </si>
  <si>
    <t>Kerupuk Ikan Premium</t>
  </si>
  <si>
    <t>Minimarket Bintang</t>
  </si>
  <si>
    <t>INV-1100</t>
  </si>
  <si>
    <t>Air Kelapa Murni Botol</t>
  </si>
  <si>
    <t>Minimarket Cahaya</t>
  </si>
  <si>
    <t>TRX-1101</t>
  </si>
  <si>
    <t>Warung Ramai</t>
  </si>
  <si>
    <t>Adaptor Charger Hp Fast Charging</t>
  </si>
  <si>
    <t>INV-1102</t>
  </si>
  <si>
    <t>Lotion Anti Nyamuk</t>
  </si>
  <si>
    <t>Minimarket Damai</t>
  </si>
  <si>
    <t>TRX-1103</t>
  </si>
  <si>
    <t>Toko Cepat</t>
  </si>
  <si>
    <t>Bawang Putih 1 Kg</t>
  </si>
  <si>
    <t>Minimarket Hemat</t>
  </si>
  <si>
    <t>INV-1104</t>
  </si>
  <si>
    <t>Pasar Jumat</t>
  </si>
  <si>
    <t>Sabuk Kulit Pria</t>
  </si>
  <si>
    <t>TRX-1105</t>
  </si>
  <si>
    <t>Minimarket Utama</t>
  </si>
  <si>
    <t>Mainan Balok Susun Kayu</t>
  </si>
  <si>
    <t>Minimarket Jasa</t>
  </si>
  <si>
    <t>INV-1106</t>
  </si>
  <si>
    <t>Toko Hemat</t>
  </si>
  <si>
    <t>Daging Sapi Beku 500G</t>
  </si>
  <si>
    <t>Minimarket Jaya</t>
  </si>
  <si>
    <t>TRX-1107</t>
  </si>
  <si>
    <t>Susu Bubuk Bayi Kotak</t>
  </si>
  <si>
    <t>INV-1108</t>
  </si>
  <si>
    <t>Warung Sejuk</t>
  </si>
  <si>
    <t>Power Bank Mini 5000Mah</t>
  </si>
  <si>
    <t>Minimarket Lestari</t>
  </si>
  <si>
    <t>TRX-1109</t>
  </si>
  <si>
    <t>Cermin Rias Led</t>
  </si>
  <si>
    <t>INV-1110</t>
  </si>
  <si>
    <t>Toko Harapan</t>
  </si>
  <si>
    <t>Selai Kacang 300G</t>
  </si>
  <si>
    <t>Minimarket Nyaman</t>
  </si>
  <si>
    <t>TRX-1111</t>
  </si>
  <si>
    <t>Pasar Pekan</t>
  </si>
  <si>
    <t>Sarung Tenun Motif</t>
  </si>
  <si>
    <t>Minimarket Pagi</t>
  </si>
  <si>
    <t>INV-1112</t>
  </si>
  <si>
    <t>Minimarket Pusat</t>
  </si>
  <si>
    <t>Papan Tulis Magnet Anak</t>
  </si>
  <si>
    <t>Minimarket Pahlawan</t>
  </si>
  <si>
    <t>TRX-1113</t>
  </si>
  <si>
    <t>Toko Kawan</t>
  </si>
  <si>
    <t>Sayur Mayur Segar Pack</t>
  </si>
  <si>
    <t>INV-1114</t>
  </si>
  <si>
    <t>Air Galon Isi Ulang</t>
  </si>
  <si>
    <t>TRX-1115</t>
  </si>
  <si>
    <t>Warung Cepat</t>
  </si>
  <si>
    <t>Alarm Anti Maling Jendela</t>
  </si>
  <si>
    <t>INV-1116</t>
  </si>
  <si>
    <t>Sabun Pembersih Tangan</t>
  </si>
  <si>
    <t>TRX-1117</t>
  </si>
  <si>
    <t>Toko Adil</t>
  </si>
  <si>
    <t>Bahan Kue Pack</t>
  </si>
  <si>
    <t>Minimarket Sehat</t>
  </si>
  <si>
    <t>INV-1118</t>
  </si>
  <si>
    <t>Pasar Senin</t>
  </si>
  <si>
    <t>Kain Batik Cap Meteran</t>
  </si>
  <si>
    <t>TRX-1119</t>
  </si>
  <si>
    <t>Sepeda Roda Empat Anak</t>
  </si>
  <si>
    <t>Minimarket Super</t>
  </si>
  <si>
    <t>INV-1120</t>
  </si>
  <si>
    <t>Toko Setia</t>
  </si>
  <si>
    <t>Sarden Kaleng Pedas</t>
  </si>
  <si>
    <t>TRX-1121</t>
  </si>
  <si>
    <t>Wedang Jahe Instan Sachet</t>
  </si>
  <si>
    <t>Minimarket Terang</t>
  </si>
  <si>
    <t>INV-1122</t>
  </si>
  <si>
    <t>Warung Cinta</t>
  </si>
  <si>
    <t>Vacuum Cleaner Mini Usb</t>
  </si>
  <si>
    <t>Minimarket Terdekat</t>
  </si>
  <si>
    <t>TRX-1123</t>
  </si>
  <si>
    <t>Sampo Kuda 500Ml</t>
  </si>
  <si>
    <t>TRX-1124</t>
  </si>
  <si>
    <t>Toko Cipta</t>
  </si>
  <si>
    <t>Roti Gandum Utuh</t>
  </si>
  <si>
    <t>Minimarket Unggul</t>
  </si>
  <si>
    <t>INV-1125</t>
  </si>
  <si>
    <t>Pasar Baru</t>
  </si>
  <si>
    <t>Piyama Katun Dewasa</t>
  </si>
  <si>
    <t>TRX-1126</t>
  </si>
  <si>
    <t>Play Dough Set Komplit</t>
  </si>
  <si>
    <t>INV-1127</t>
  </si>
  <si>
    <t>Kecap Manis Botol Besar</t>
  </si>
  <si>
    <t>TRX-1128</t>
  </si>
  <si>
    <t>Cincau Hitam Kaleng</t>
  </si>
  <si>
    <t>Pasar Indah</t>
  </si>
  <si>
    <t>INV-1129</t>
  </si>
  <si>
    <t>Warung Jago</t>
  </si>
  <si>
    <t>Lampu Sorot Led Outdoor</t>
  </si>
  <si>
    <t>TRX-1130</t>
  </si>
  <si>
    <t>Handbody Pemutih</t>
  </si>
  <si>
    <t>INV-1131</t>
  </si>
  <si>
    <t>Toko Ramah</t>
  </si>
  <si>
    <t>Keripik Singkong Pedas</t>
  </si>
  <si>
    <t>TRX-1132</t>
  </si>
  <si>
    <t>Pasar Mewah</t>
  </si>
  <si>
    <t>Sepatu Pantofel Kulit</t>
  </si>
  <si>
    <t>Pasar Jumat Berkah</t>
  </si>
  <si>
    <t>INV-1133</t>
  </si>
  <si>
    <t>Puzzle 3D Kayu</t>
  </si>
  <si>
    <t>Pasar Kemayoran</t>
  </si>
  <si>
    <t>TRX-1134</t>
  </si>
  <si>
    <t>Toko Cermat</t>
  </si>
  <si>
    <t>Permen Rasa Buah Mix</t>
  </si>
  <si>
    <t>Pasar Kilat</t>
  </si>
  <si>
    <t>INV-1135</t>
  </si>
  <si>
    <t>Smoothie Buah Kemasan</t>
  </si>
  <si>
    <t>TRX-1136</t>
  </si>
  <si>
    <t>Warung Hebat</t>
  </si>
  <si>
    <t>Charger Mobil Dual Usb</t>
  </si>
  <si>
    <t>INV-1137</t>
  </si>
  <si>
    <t>Sisir Rambut Ion</t>
  </si>
  <si>
    <t>TRX-1138</t>
  </si>
  <si>
    <t>Toko Gemilang</t>
  </si>
  <si>
    <t>Bahan Roti Premium</t>
  </si>
  <si>
    <t>Pasar Minggu</t>
  </si>
  <si>
    <t>INV-1139</t>
  </si>
  <si>
    <t>Pasar Raya Besar</t>
  </si>
  <si>
    <t>Jam Tangan Digital Sport</t>
  </si>
  <si>
    <t>TRX-1140</t>
  </si>
  <si>
    <t>Robot Mainan Transformer</t>
  </si>
  <si>
    <t>Pasar Pagi Bugar</t>
  </si>
  <si>
    <t>INV-1141</t>
  </si>
  <si>
    <t>Toko Damai Abadi</t>
  </si>
  <si>
    <t>Garam Meja Beryodium</t>
  </si>
  <si>
    <t>Pasar Pagi Ceria</t>
  </si>
  <si>
    <t>TRX-1142</t>
  </si>
  <si>
    <t>Susu Bubuk Coklat Kotak</t>
  </si>
  <si>
    <t>Pasar Pagi Hari</t>
  </si>
  <si>
    <t>INV-1143</t>
  </si>
  <si>
    <t>Warung Tengah</t>
  </si>
  <si>
    <t>Power Supply Komputer</t>
  </si>
  <si>
    <t>Pasar Pahlawan</t>
  </si>
  <si>
    <t>TRX-1144</t>
  </si>
  <si>
    <t>Body Scrub Aromaterapi</t>
  </si>
  <si>
    <t>INV-1145</t>
  </si>
  <si>
    <t>Toko Istana</t>
  </si>
  <si>
    <t>Coklat Bubuk Murni</t>
  </si>
  <si>
    <t>TRX-1146</t>
  </si>
  <si>
    <t>Jaket Gunung Anti Air</t>
  </si>
  <si>
    <t>Pasar Rame Banget</t>
  </si>
  <si>
    <t>INV-1147</t>
  </si>
  <si>
    <t>Papan Dart Magnetik</t>
  </si>
  <si>
    <t>TRX-1148</t>
  </si>
  <si>
    <t>Toko Sahabat</t>
  </si>
  <si>
    <t>Permen Karet Mint</t>
  </si>
  <si>
    <t>INV-1149</t>
  </si>
  <si>
    <t>Air Minum Berkarbonasi</t>
  </si>
  <si>
    <t>TRX-1150</t>
  </si>
  <si>
    <t>Warung Jasa</t>
  </si>
  <si>
    <t>Kamera Cctv Indoor</t>
  </si>
  <si>
    <t>INV-1151</t>
  </si>
  <si>
    <t>Alat Pengeriting Rambut</t>
  </si>
  <si>
    <t>TRX-1152</t>
  </si>
  <si>
    <t>Toko Cemerlang</t>
  </si>
  <si>
    <t>Beras Premium 5 Kg</t>
  </si>
  <si>
    <t>Pasar Senja Indah</t>
  </si>
  <si>
    <t>INV-1153</t>
  </si>
  <si>
    <t>Kain Katun Jepang Meteran</t>
  </si>
  <si>
    <t>TRX-1154</t>
  </si>
  <si>
    <t>Pesawat Terbang Mainan</t>
  </si>
  <si>
    <t>INV-1155</t>
  </si>
  <si>
    <t>Toko Karya</t>
  </si>
  <si>
    <t>Susu Kental Manis Kaleng</t>
  </si>
  <si>
    <t>TRX-1156</t>
  </si>
  <si>
    <t>Kopi Hitam Instan Sachet</t>
  </si>
  <si>
    <t>Pasar Tani</t>
  </si>
  <si>
    <t>INV-1157</t>
  </si>
  <si>
    <t>Warung Berkah</t>
  </si>
  <si>
    <t>Speaker Portabel Waterproof</t>
  </si>
  <si>
    <t>Pasar Tanjung</t>
  </si>
  <si>
    <t>INV-1158</t>
  </si>
  <si>
    <t>Sunscreen Spf 50+</t>
  </si>
  <si>
    <t>INV-1159</t>
  </si>
  <si>
    <t>Toko Maju Lancar</t>
  </si>
  <si>
    <t>Mi Instan Kuah Pedas</t>
  </si>
  <si>
    <t>Pasar Terpadu</t>
  </si>
  <si>
    <t>TRX-1160</t>
  </si>
  <si>
    <t>Topi Fedora Klasik</t>
  </si>
  <si>
    <t>Toko Abadi Selalu</t>
  </si>
  <si>
    <t>INV-1161</t>
  </si>
  <si>
    <t>Set Mainan Pertukangan</t>
  </si>
  <si>
    <t>TRX-1162</t>
  </si>
  <si>
    <t>Toko Harum</t>
  </si>
  <si>
    <t>Permen Mint Kaleng</t>
  </si>
  <si>
    <t>Toko Adinda</t>
  </si>
  <si>
    <t>INV-1163</t>
  </si>
  <si>
    <t>Teh Botol 450Ml</t>
  </si>
  <si>
    <t>TRX-1164</t>
  </si>
  <si>
    <t>Warung Barokah</t>
  </si>
  <si>
    <t>Smart Plug Wifi</t>
  </si>
  <si>
    <t>Toko Barokah</t>
  </si>
  <si>
    <t>INV-1165</t>
  </si>
  <si>
    <t>Pencuci Muka Charcoal</t>
  </si>
  <si>
    <t>TRX-1166</t>
  </si>
  <si>
    <t>Toko Cita</t>
  </si>
  <si>
    <t>Gula Merah Batok</t>
  </si>
  <si>
    <t>INV-1167</t>
  </si>
  <si>
    <t>Syall Motif Etnik</t>
  </si>
  <si>
    <t>Toko Besar</t>
  </si>
  <si>
    <t>TRX-1168</t>
  </si>
  <si>
    <t>Mobil Remote Control Balap</t>
  </si>
  <si>
    <t>INV-1169</t>
  </si>
  <si>
    <t>Toko Sinar Jaya</t>
  </si>
  <si>
    <t>Sambal Botol Pedas</t>
  </si>
  <si>
    <t>TRX-1170</t>
  </si>
  <si>
    <t>Air Soda Rasa Buah</t>
  </si>
  <si>
    <t>INV-1171</t>
  </si>
  <si>
    <t>Warung Kecil</t>
  </si>
  <si>
    <t>Lampu Belajar Led Fleksibel</t>
  </si>
  <si>
    <t>TRX-1172</t>
  </si>
  <si>
    <t>Lip Balm Pelembab</t>
  </si>
  <si>
    <t>INV-1173</t>
  </si>
  <si>
    <t>Toko Semesta</t>
  </si>
  <si>
    <t>Kerupuk Sayur</t>
  </si>
  <si>
    <t>Toko Cipta Rasa</t>
  </si>
  <si>
    <t>TRX-1174</t>
  </si>
  <si>
    <t>Celana Pendek Santai</t>
  </si>
  <si>
    <t>INV-1175</t>
  </si>
  <si>
    <t>Mainan Dokter Gigi</t>
  </si>
  <si>
    <t>TRX-1176</t>
  </si>
  <si>
    <t>Toko Mitra</t>
  </si>
  <si>
    <t>Bumbu Kacang Instan</t>
  </si>
  <si>
    <t>INV-1177</t>
  </si>
  <si>
    <t>Kopi Susu Kaleng Dingin</t>
  </si>
  <si>
    <t>TRX-1178</t>
  </si>
  <si>
    <t>Hard Disk Eksternal 1Tb</t>
  </si>
  <si>
    <t>TRX-1179</t>
  </si>
  <si>
    <t>Maskara Volume Tebal</t>
  </si>
  <si>
    <t>INV-1180</t>
  </si>
  <si>
    <t>Toko Ramai</t>
  </si>
  <si>
    <t>Teh Hijau Daun</t>
  </si>
  <si>
    <t>TRX-1181</t>
  </si>
  <si>
    <t>Rompi Rajut Wanita</t>
  </si>
  <si>
    <t>INV-1182</t>
  </si>
  <si>
    <t>Alat Musik Mainan</t>
  </si>
  <si>
    <t>TRX-1183</t>
  </si>
  <si>
    <t>Madu Murni Botol Kecil</t>
  </si>
  <si>
    <t>INV-1184</t>
  </si>
  <si>
    <t>Jus Sayur Botol</t>
  </si>
  <si>
    <t>Toko Istimewa</t>
  </si>
  <si>
    <t>TRX-1185</t>
  </si>
  <si>
    <t>Warung Murni</t>
  </si>
  <si>
    <t>Mouse Pad Gaming</t>
  </si>
  <si>
    <t>Toko Jaya</t>
  </si>
  <si>
    <t>INV-1186</t>
  </si>
  <si>
    <t>Pensil Alis Otomatis</t>
  </si>
  <si>
    <t>TRX-1187</t>
  </si>
  <si>
    <t>Toko Pelita</t>
  </si>
  <si>
    <t>Bawang Merah 1 Kg</t>
  </si>
  <si>
    <t>INV-1188</t>
  </si>
  <si>
    <t>Baju Tidur Satin</t>
  </si>
  <si>
    <t>Toko Keren</t>
  </si>
  <si>
    <t>TRX-1189</t>
  </si>
  <si>
    <t>Boneka Beruang Besar</t>
  </si>
  <si>
    <t>INV-1190</t>
  </si>
  <si>
    <t>Toko Mandiri</t>
  </si>
  <si>
    <t>Sambal Terasi Instan</t>
  </si>
  <si>
    <t>TRX-1191</t>
  </si>
  <si>
    <t>Air Mineral Rasa Buah</t>
  </si>
  <si>
    <t>INV-1192</t>
  </si>
  <si>
    <t>Warung Gembira</t>
  </si>
  <si>
    <t>Power Inverter Mobil</t>
  </si>
  <si>
    <t>TRX-1193</t>
  </si>
  <si>
    <t>Krim Anti Jerawat Totol</t>
  </si>
  <si>
    <t>INV-1194</t>
  </si>
  <si>
    <t>Toko Rajin</t>
  </si>
  <si>
    <t>Beras Merah Organik</t>
  </si>
  <si>
    <t>Toko Maju Terus</t>
  </si>
  <si>
    <t>TRX-1195</t>
  </si>
  <si>
    <t>Kaftan Muslim Wanita</t>
  </si>
  <si>
    <t>INV-1196</t>
  </si>
  <si>
    <t>Set Mainan Pemadam Kebakaran</t>
  </si>
  <si>
    <t>TRX-1197</t>
  </si>
  <si>
    <t>Toko Nyata</t>
  </si>
  <si>
    <t>Bubur Bayi Instan Kotak</t>
  </si>
  <si>
    <t>Toko Masa Depan</t>
  </si>
  <si>
    <t>INV-1198</t>
  </si>
  <si>
    <t>Teh Tarik Instan Sachet</t>
  </si>
  <si>
    <t>TRX-1199</t>
  </si>
  <si>
    <t>Webcam Hd</t>
  </si>
  <si>
    <t>TRX-1200</t>
  </si>
  <si>
    <t>Hair Tonic Penyubur Rambut</t>
  </si>
  <si>
    <t>INV-1201</t>
  </si>
  <si>
    <t>Toko Ramah Tamah</t>
  </si>
  <si>
    <t>Kue Kering Natal</t>
  </si>
  <si>
    <t>TRX-1202</t>
  </si>
  <si>
    <t>Dasi Pria Motif</t>
  </si>
  <si>
    <t>INV-1203</t>
  </si>
  <si>
    <t>Mainan Robot Interaktif</t>
  </si>
  <si>
    <t>TRX-1204</t>
  </si>
  <si>
    <t>Toko Pertiwi</t>
  </si>
  <si>
    <t>Kripik Ubi Ungu</t>
  </si>
  <si>
    <t>INV-1205</t>
  </si>
  <si>
    <t>Kopi Latte Botol</t>
  </si>
  <si>
    <t>Toko Pelangi</t>
  </si>
  <si>
    <t>TRX-1206</t>
  </si>
  <si>
    <t>Warung Barat</t>
  </si>
  <si>
    <t>Power Bank 20000Mah</t>
  </si>
  <si>
    <t>INV-1207</t>
  </si>
  <si>
    <t>Body Mist Aroma Segar</t>
  </si>
  <si>
    <t>TRX-1208</t>
  </si>
  <si>
    <t>Minyak Wijen 250Ml</t>
  </si>
  <si>
    <t>INV-1209</t>
  </si>
  <si>
    <t>Sarung Bantal Sofa Set</t>
  </si>
  <si>
    <t>TRX-1210</t>
  </si>
  <si>
    <t>Puzzle Bentuk Angka</t>
  </si>
  <si>
    <t>INV-1211</t>
  </si>
  <si>
    <t>Mie Telur Kering Pack</t>
  </si>
  <si>
    <t>TRX-1212</t>
  </si>
  <si>
    <t>Air Kelapa Kemasan Kotak</t>
  </si>
  <si>
    <t>INV-1213</t>
  </si>
  <si>
    <t>Warung Santai Pagi</t>
  </si>
  <si>
    <t>Speaker Pasif Rakitan</t>
  </si>
  <si>
    <t>TRX-1214</t>
  </si>
  <si>
    <t>Kuas Set Makeup Lengkap</t>
  </si>
  <si>
    <t>INV-1215</t>
  </si>
  <si>
    <t>Toko Senang</t>
  </si>
  <si>
    <t>Keju Mozzarella 250G</t>
  </si>
  <si>
    <t>TRX-1216</t>
  </si>
  <si>
    <t>Selimut Bulu Halus</t>
  </si>
  <si>
    <t>Toko Segar</t>
  </si>
  <si>
    <t>INV-1217</t>
  </si>
  <si>
    <t>Helikopter Remote Control</t>
  </si>
  <si>
    <t>TRX-1218</t>
  </si>
  <si>
    <t>Saus Sambal Botol Pedas</t>
  </si>
  <si>
    <t>INV-1219</t>
  </si>
  <si>
    <t>Teh Lemon Instan</t>
  </si>
  <si>
    <t>TRX-1220</t>
  </si>
  <si>
    <t>Warung Cemerlang</t>
  </si>
  <si>
    <t>Projector Mini Portabel</t>
  </si>
  <si>
    <t>INV-1221</t>
  </si>
  <si>
    <t>Face Mist Vitamin C</t>
  </si>
  <si>
    <t>TRX-1222</t>
  </si>
  <si>
    <t>Biskuit Rasa Pisang</t>
  </si>
  <si>
    <t>INV-1223</t>
  </si>
  <si>
    <t>Kardigan Rajut Wanita</t>
  </si>
  <si>
    <t>Toko Seru</t>
  </si>
  <si>
    <t>TRX-1224</t>
  </si>
  <si>
    <t>Mainan Blok Bangunan Besar</t>
  </si>
  <si>
    <t>INV-1225</t>
  </si>
  <si>
    <t>Buah Anggur Merah 1Kg</t>
  </si>
  <si>
    <t>TRX-1226</t>
  </si>
  <si>
    <t>Air Kelapa Hijau</t>
  </si>
  <si>
    <t>INV-1227</t>
  </si>
  <si>
    <t>Warung Sehat Bugar</t>
  </si>
  <si>
    <t>Tripod Hp Fleksibel</t>
  </si>
  <si>
    <t>Toko Terbaik</t>
  </si>
  <si>
    <t>TRX-1228</t>
  </si>
  <si>
    <t>Pomade Rambut Pria</t>
  </si>
  <si>
    <t>TRX-1229</t>
  </si>
  <si>
    <t>Ayam Potong Segar</t>
  </si>
  <si>
    <t>INV-1230</t>
  </si>
  <si>
    <t>Sepatu Sandal Kulit Wanita</t>
  </si>
  <si>
    <t>TRX-1231</t>
  </si>
  <si>
    <t>Set Mainan Dinosaurus</t>
  </si>
  <si>
    <t>INV-1232</t>
  </si>
  <si>
    <t>Ikan Kaleng Tuna</t>
  </si>
  <si>
    <t>TRX-1233</t>
  </si>
  <si>
    <t>Soda Rasa Cola Kaleng</t>
  </si>
  <si>
    <t>INV-1234</t>
  </si>
  <si>
    <t>Warung Jaya Selalu</t>
  </si>
  <si>
    <t>Smart Bulb Lampu Pintar</t>
  </si>
  <si>
    <t>TRX-1235</t>
  </si>
  <si>
    <t>Hand Sanitizer Gel 500Ml</t>
  </si>
  <si>
    <t>INV-1236</t>
  </si>
  <si>
    <t>Telur Bebek Pack 6</t>
  </si>
  <si>
    <t>TRX-1237</t>
  </si>
  <si>
    <t>Jumpsuit Wanita Fashion</t>
  </si>
  <si>
    <t>INV-1238</t>
  </si>
  <si>
    <t>Bola Basket Anak</t>
  </si>
  <si>
    <t>TRX-1239</t>
  </si>
  <si>
    <t>Keripik Kentang Original</t>
  </si>
  <si>
    <t>INV-1240</t>
  </si>
  <si>
    <t>Susu Bubuk Full Cream 400G</t>
  </si>
  <si>
    <t>TRX-1241</t>
  </si>
  <si>
    <t>Headphone Noise Cancelling</t>
  </si>
  <si>
    <t>INV-1242</t>
  </si>
  <si>
    <t>Serum Anti Aging Malam</t>
  </si>
  <si>
    <t>TRX-1243</t>
  </si>
  <si>
    <t>Pasta Gigi Anak</t>
  </si>
  <si>
    <t>INV-1244</t>
  </si>
  <si>
    <t>Daster Batik Casual</t>
  </si>
  <si>
    <t>TRX-1245</t>
  </si>
  <si>
    <t>Mainan Pesawat Mini</t>
  </si>
  <si>
    <t>INV-1246</t>
  </si>
  <si>
    <t>Mentega Putih 500G</t>
  </si>
  <si>
    <t>TRX-1247</t>
  </si>
  <si>
    <t>Jus Jambu Biji 1L</t>
  </si>
  <si>
    <t>Warung Kecil Pojok</t>
  </si>
  <si>
    <t>INV-1248</t>
  </si>
  <si>
    <t>Kabel Ekstensi Roll</t>
  </si>
  <si>
    <t>TRX-1249</t>
  </si>
  <si>
    <t>Lulur Mandi Tradisional</t>
  </si>
  <si>
    <t>INV-1250</t>
  </si>
  <si>
    <t>Sarden Saus Cabai</t>
  </si>
  <si>
    <t>TRX-1251</t>
  </si>
  <si>
    <t>Jaket Bomber Pria</t>
  </si>
  <si>
    <t>INV-1252</t>
  </si>
  <si>
    <t>Papan Seluncur Anak</t>
  </si>
  <si>
    <t>TRX-1253</t>
  </si>
  <si>
    <t>Nasi Goreng Instan Pack</t>
  </si>
  <si>
    <t>INV-1254</t>
  </si>
  <si>
    <t>Sirup Rasa Mawar Botol</t>
  </si>
  <si>
    <t>TRX-1255</t>
  </si>
  <si>
    <t>Power Adapter Universal</t>
  </si>
  <si>
    <t>INV-1256</t>
  </si>
  <si>
    <t>Bedak Padat Anti Minyak</t>
  </si>
  <si>
    <t>TRX-1257</t>
  </si>
  <si>
    <t>Bahan Roti Gandum</t>
  </si>
  <si>
    <t>INV-1258</t>
  </si>
  <si>
    <t>Topi Baret Wol</t>
  </si>
  <si>
    <t>TRX-1259</t>
  </si>
  <si>
    <t>Sepeda Mini Roda Dua</t>
  </si>
  <si>
    <t>INV-1260</t>
  </si>
  <si>
    <t>Makaroni Instan Keju</t>
  </si>
  <si>
    <t>TRX-1261</t>
  </si>
  <si>
    <t>Kopi Dingin Kaleng Premium</t>
  </si>
  <si>
    <t>INV-1262</t>
  </si>
  <si>
    <t>Kabel Lan Utp 10M</t>
  </si>
  <si>
    <t>TRX-1263</t>
  </si>
  <si>
    <t>Sabun Cair Antiseptik</t>
  </si>
  <si>
    <t>INV-1264</t>
  </si>
  <si>
    <t>Sayur Bayam Segar</t>
  </si>
  <si>
    <t>TRX-1265</t>
  </si>
  <si>
    <t>Jilbab Instan Syar'I</t>
  </si>
  <si>
    <t>INV-1266</t>
  </si>
  <si>
    <t>Mainan Boneka Kain</t>
  </si>
  <si>
    <t>TRX-1267</t>
  </si>
  <si>
    <t>Mie Goreng Jumbo Instan</t>
  </si>
  <si>
    <t>INV-1268</t>
  </si>
  <si>
    <t>Air Mineral Rasa Apel</t>
  </si>
  <si>
    <t>Total</t>
  </si>
  <si>
    <t>TRX-1269</t>
  </si>
  <si>
    <t>Antena Tv Digital Outdoor</t>
  </si>
  <si>
    <t>TRX-1270</t>
  </si>
  <si>
    <t>Pewarna Rambut Permanen</t>
  </si>
  <si>
    <t>INV-1271</t>
  </si>
  <si>
    <t>Kerupuk Kulit Sapi</t>
  </si>
  <si>
    <t>TRX-1272</t>
  </si>
  <si>
    <t>Sepatu Flat Shoes Wanita</t>
  </si>
  <si>
    <t>INV-1273</t>
  </si>
  <si>
    <t>Papan Skateboard Pemula</t>
  </si>
  <si>
    <t>TRX-1274</t>
  </si>
  <si>
    <t>Permen Lollipop Besar</t>
  </si>
  <si>
    <t>INV-1275</t>
  </si>
  <si>
    <t>Kefir Susu Fermentasi</t>
  </si>
  <si>
    <t>TRX-1276</t>
  </si>
  <si>
    <t>Timbangan Dapur Digital</t>
  </si>
  <si>
    <t>INV-1277</t>
  </si>
  <si>
    <t>Shampoo Anti Rontok</t>
  </si>
  <si>
    <t>TRX-1278</t>
  </si>
  <si>
    <t>Gula Batu 500G</t>
  </si>
  <si>
    <t>INV-1279</t>
  </si>
  <si>
    <t>Sandal Pria Sport</t>
  </si>
  <si>
    <t>TRX-1280</t>
  </si>
  <si>
    <t>Set Mainan Memancing</t>
  </si>
  <si>
    <t>INV-1281</t>
  </si>
  <si>
    <t>Tepung Beras Ketan 1Kg</t>
  </si>
  <si>
    <t>TRX-1282</t>
  </si>
  <si>
    <t>Susu Almond Organik</t>
  </si>
  <si>
    <t>INV-1283</t>
  </si>
  <si>
    <t>Power Cord Universal</t>
  </si>
  <si>
    <t>TRX-1284</t>
  </si>
  <si>
    <t>Lip Tint Glossy</t>
  </si>
  <si>
    <t>INV-1285</t>
  </si>
  <si>
    <t>Bawang Bombay 1 Kg</t>
  </si>
  <si>
    <t>TRX-1286</t>
  </si>
  <si>
    <t>Kemeja Flanel Kotak-Kotak</t>
  </si>
  <si>
    <t>INV-1287</t>
  </si>
  <si>
    <t>Mainan Hewan Karet</t>
  </si>
  <si>
    <t>TRX-1288</t>
  </si>
  <si>
    <t>Garam Laut Murni 500G</t>
  </si>
  <si>
    <t>INV-1289</t>
  </si>
  <si>
    <t>Air Mineral Galon Kecil</t>
  </si>
  <si>
    <t>TRX-1290</t>
  </si>
  <si>
    <t>Kabel Audio Jack 3.5Mm</t>
  </si>
  <si>
    <t>INV-1291</t>
  </si>
  <si>
    <t>Pembersih Kuas Makeup</t>
  </si>
  <si>
    <t>TRX-1292</t>
  </si>
  <si>
    <t>Nugget Ayam Beku 500G</t>
  </si>
  <si>
    <t>INV-1293</t>
  </si>
  <si>
    <t>Syal Rajut Panjang</t>
  </si>
  <si>
    <t>TRX-1294</t>
  </si>
  <si>
    <t>Set Mainan Kereta Api</t>
  </si>
  <si>
    <t>INV-1295</t>
  </si>
  <si>
    <t>Keju Parut Cheddar</t>
  </si>
  <si>
    <t>TRX-1296</t>
  </si>
  <si>
    <t>Teh Lemon Dingin Instan</t>
  </si>
  <si>
    <t>INV-1297</t>
  </si>
  <si>
    <t>Lampu Uv Sterilisasi Portabel</t>
  </si>
  <si>
    <t>TRX-1298</t>
  </si>
  <si>
    <t>Lipstik Matte Nude</t>
  </si>
  <si>
    <t>INV-1299</t>
  </si>
  <si>
    <t>Kopi Bubuk Kapal Api</t>
  </si>
  <si>
    <t>TRX-1300</t>
  </si>
  <si>
    <t>Jilbab Pashmina Motif</t>
  </si>
  <si>
    <t xml:space="preserve"> Toko Berkah </t>
  </si>
  <si>
    <t>mie Instan Rasa Ayam</t>
  </si>
  <si>
    <t>TUNAI</t>
  </si>
  <si>
    <t xml:space="preserve"> SuperMarket Indah </t>
  </si>
  <si>
    <t>Air Mineral Botol 600ml</t>
  </si>
  <si>
    <t>BANDUNG</t>
  </si>
  <si>
    <t>Kartu debit</t>
  </si>
  <si>
    <t xml:space="preserve"> Grosir   Maju  Jaya</t>
  </si>
  <si>
    <t>ELEKTRONIK</t>
  </si>
  <si>
    <t>Lampu LED 10 Watt</t>
  </si>
  <si>
    <t>KARTU KREDIT</t>
  </si>
  <si>
    <t xml:space="preserve"> Warung  Jujur </t>
  </si>
  <si>
    <t>kecantikan</t>
  </si>
  <si>
    <t>Sabun Mandi Cair 500ml</t>
  </si>
  <si>
    <t>JAKARTA PUSAT</t>
  </si>
  <si>
    <t>tunai</t>
  </si>
  <si>
    <t xml:space="preserve"> Toko Abadi </t>
  </si>
  <si>
    <t>MAKANAN</t>
  </si>
  <si>
    <t>KOPI ROBUSTA 250g</t>
  </si>
  <si>
    <t>Rp.30.000</t>
  </si>
  <si>
    <t xml:space="preserve"> Pasar Jaya</t>
  </si>
  <si>
    <t>medan</t>
  </si>
  <si>
    <t xml:space="preserve"> Minimarket   Sejahtera  </t>
  </si>
  <si>
    <t>mainan</t>
  </si>
  <si>
    <t xml:space="preserve"> Toko   Sari </t>
  </si>
  <si>
    <t xml:space="preserve"> Gudang Murah </t>
  </si>
  <si>
    <t>KARTU DEBIT</t>
  </si>
  <si>
    <t xml:space="preserve"> " Toko Sembako"</t>
  </si>
  <si>
    <t>Baterai AA Pack 4</t>
  </si>
  <si>
    <t>Kartu kredit</t>
  </si>
  <si>
    <t xml:space="preserve">  Warung  Depan </t>
  </si>
  <si>
    <t>JAKARTA BARAT</t>
  </si>
  <si>
    <t xml:space="preserve"> Toko   Hoki  </t>
  </si>
  <si>
    <t>BISKUIT RASA COKLAT</t>
  </si>
  <si>
    <t xml:space="preserve">  Pasar   Rame </t>
  </si>
  <si>
    <t>yogyakarta</t>
  </si>
  <si>
    <t xml:space="preserve">  Grosir   Laris </t>
  </si>
  <si>
    <t>MEDAN</t>
  </si>
  <si>
    <t>01-Mei-2023</t>
  </si>
  <si>
    <t xml:space="preserve">   Minimarket  Cepat  </t>
  </si>
  <si>
    <t xml:space="preserve"> Toko   Murni </t>
  </si>
  <si>
    <t>semarang</t>
  </si>
  <si>
    <t xml:space="preserve">  Warung   Santai </t>
  </si>
  <si>
    <t>Kabel Data USB C</t>
  </si>
  <si>
    <t xml:space="preserve"> Gudang   Besar </t>
  </si>
  <si>
    <t>DENPASAR</t>
  </si>
  <si>
    <t>TEPUNG TERIGU 1 KG</t>
  </si>
  <si>
    <t xml:space="preserve"> Pasar Pagi </t>
  </si>
  <si>
    <t xml:space="preserve"> Minimarket  Istimewa </t>
  </si>
  <si>
    <t xml:space="preserve"> Toko Serba Ada</t>
  </si>
  <si>
    <t xml:space="preserve"> Grosir  Murah  Banget</t>
  </si>
  <si>
    <t>Susu UHT Full Cream 1L</t>
  </si>
  <si>
    <t xml:space="preserve">  Warung   Pojok </t>
  </si>
  <si>
    <t>Power Bank 10000mAh</t>
  </si>
  <si>
    <t>SEMARANG</t>
  </si>
  <si>
    <t>15-Agu-2023</t>
  </si>
  <si>
    <t xml:space="preserve"> Gudang  Cepat </t>
  </si>
  <si>
    <t xml:space="preserve"> Toko  Lengkap </t>
  </si>
  <si>
    <t>GULA PASIR 1 KG</t>
  </si>
  <si>
    <t>depok</t>
  </si>
  <si>
    <t xml:space="preserve"> Pasar  Malam </t>
  </si>
  <si>
    <t>JAKARTA SELATAN</t>
  </si>
  <si>
    <t xml:space="preserve"> Minimarket  Tepat </t>
  </si>
  <si>
    <t>Set Mainan Masak-masakan</t>
  </si>
  <si>
    <t xml:space="preserve">  Toko  Bersama  </t>
  </si>
  <si>
    <t xml:space="preserve"> Grosir Hebat </t>
  </si>
  <si>
    <t>Kopi Bubuk Hitam 100g</t>
  </si>
  <si>
    <t>15-Okt-2023</t>
  </si>
  <si>
    <t xml:space="preserve"> Warung Kita</t>
  </si>
  <si>
    <t xml:space="preserve"> " Gudang Kecil "</t>
  </si>
  <si>
    <t>Parfum Wanita EDP 50ml</t>
  </si>
  <si>
    <t xml:space="preserve"> Toko Maju </t>
  </si>
  <si>
    <t>KEJU CHEDDAR BLOK</t>
  </si>
  <si>
    <t>surabaya</t>
  </si>
  <si>
    <t xml:space="preserve"> Pasar Senja </t>
  </si>
  <si>
    <t>denpasar</t>
  </si>
  <si>
    <t xml:space="preserve"> Minimarket  Sinar </t>
  </si>
  <si>
    <t xml:space="preserve"> Toko  Bahagia </t>
  </si>
  <si>
    <t>15-Des-2023</t>
  </si>
  <si>
    <t xml:space="preserve"> Grosir   Hemat </t>
  </si>
  <si>
    <t>YOGYAKARTA</t>
  </si>
  <si>
    <t xml:space="preserve">  Warung  Asri </t>
  </si>
  <si>
    <t>malang</t>
  </si>
  <si>
    <t xml:space="preserve"> Gudang  Baru </t>
  </si>
  <si>
    <t xml:space="preserve"> Toko   Sentral </t>
  </si>
  <si>
    <t>KERUPUK UDANG</t>
  </si>
  <si>
    <t xml:space="preserve"> Pasar Subuh </t>
  </si>
  <si>
    <t>SURABAYA</t>
  </si>
  <si>
    <t xml:space="preserve"> Minimarket  Rakyat </t>
  </si>
  <si>
    <t xml:space="preserve"> Toko  Kreatif </t>
  </si>
  <si>
    <t>jakarta selatan</t>
  </si>
  <si>
    <t xml:space="preserve"> Grosir  Pusat </t>
  </si>
  <si>
    <t xml:space="preserve"> Warung Sehat</t>
  </si>
  <si>
    <t xml:space="preserve">  Gudang  Besar</t>
  </si>
  <si>
    <t xml:space="preserve"> " Toko Murah "</t>
  </si>
  <si>
    <t>SAUS TOMAT BOTOL</t>
  </si>
  <si>
    <t xml:space="preserve"> Pasar  Ceriam</t>
  </si>
  <si>
    <t xml:space="preserve"> Minimarket  Bersama </t>
  </si>
  <si>
    <t xml:space="preserve"> Toko   Nyaman </t>
  </si>
  <si>
    <t xml:space="preserve"> Grosir   Kiloan </t>
  </si>
  <si>
    <t>JAKARTA</t>
  </si>
  <si>
    <t>10-Mei-2024</t>
  </si>
  <si>
    <t xml:space="preserve">  Warung  Damai </t>
  </si>
  <si>
    <t xml:space="preserve"> Gudang  Canggih</t>
  </si>
  <si>
    <t xml:space="preserve"> Toko   Sukses  </t>
  </si>
  <si>
    <t>MIE GORENG INSTAN</t>
  </si>
  <si>
    <t xml:space="preserve"> Pasar Sentral</t>
  </si>
  <si>
    <t xml:space="preserve"> Minimarket  Pintar </t>
  </si>
  <si>
    <t xml:space="preserve"> Toko   Rizki </t>
  </si>
  <si>
    <t xml:space="preserve"> Grosir  Pangan </t>
  </si>
  <si>
    <t>Teh Hijau Botol 350ml</t>
  </si>
  <si>
    <t>DEPOK</t>
  </si>
  <si>
    <t xml:space="preserve"> Warung Jaya</t>
  </si>
  <si>
    <t xml:space="preserve"> Gudang  Utama </t>
  </si>
  <si>
    <t>10-Agu-2024</t>
  </si>
  <si>
    <t xml:space="preserve"> Toko   Sejahtera </t>
  </si>
  <si>
    <t>MINYAK GORENG 2L</t>
  </si>
  <si>
    <t xml:space="preserve"> Pasar Raya</t>
  </si>
  <si>
    <t>MALANG</t>
  </si>
  <si>
    <t xml:space="preserve"> Minimarket  Modern </t>
  </si>
  <si>
    <t xml:space="preserve"> Toko   Makmur  </t>
  </si>
  <si>
    <t xml:space="preserve"> Grosir Segar</t>
  </si>
  <si>
    <t xml:space="preserve">  Warung  Baru </t>
  </si>
  <si>
    <t>Lampu Emergency LED</t>
  </si>
  <si>
    <t>15-Okt-2024</t>
  </si>
  <si>
    <t xml:space="preserve"> Gudang Pemasok</t>
  </si>
  <si>
    <t>jakarta</t>
  </si>
  <si>
    <t xml:space="preserve"> " Toko Ceria"</t>
  </si>
  <si>
    <t>MARGARIN KEMASAN KECIL</t>
  </si>
  <si>
    <t xml:space="preserve"> Pasar Sore </t>
  </si>
  <si>
    <t xml:space="preserve"> Minimarket  Tumbuh </t>
  </si>
  <si>
    <t xml:space="preserve"> Toko   Unggul </t>
  </si>
  <si>
    <t xml:space="preserve"> Grosir   Terpercaya  </t>
  </si>
  <si>
    <t>15-Des-2024</t>
  </si>
  <si>
    <t xml:space="preserve"> Warung Bahagia</t>
  </si>
  <si>
    <t>Stabilizer HP Genggam</t>
  </si>
  <si>
    <t xml:space="preserve"> Gudang Emas</t>
  </si>
  <si>
    <t xml:space="preserve"> Toko  Mega </t>
  </si>
  <si>
    <t>TEH KOTAK 1 L</t>
  </si>
  <si>
    <t xml:space="preserve"> Pasar Induk</t>
  </si>
  <si>
    <t xml:space="preserve"> Minimarket  Laris </t>
  </si>
  <si>
    <t>Drone Mini Kamera HD</t>
  </si>
  <si>
    <t xml:space="preserve"> Toko   Pilihan  </t>
  </si>
  <si>
    <t xml:space="preserve"> Grosir  Penuh</t>
  </si>
  <si>
    <t xml:space="preserve">  Warung  Nusa </t>
  </si>
  <si>
    <t xml:space="preserve"> Gudang  Pelangi </t>
  </si>
  <si>
    <t xml:space="preserve"> Toko Hebat</t>
  </si>
  <si>
    <t>BIJI KOPI ARABIKA</t>
  </si>
  <si>
    <t xml:space="preserve"> Pasar  Terang </t>
  </si>
  <si>
    <t xml:space="preserve"> Minimarket  Prima </t>
  </si>
  <si>
    <t xml:space="preserve"> Toko  Damai</t>
  </si>
  <si>
    <t xml:space="preserve"> Grosir   Utama </t>
  </si>
  <si>
    <t xml:space="preserve"> Warung  Nyaman </t>
  </si>
  <si>
    <t>10-Mei-2025</t>
  </si>
  <si>
    <t xml:space="preserve"> Gudang   Lama </t>
  </si>
  <si>
    <t xml:space="preserve"> " Toko   Rapi "</t>
  </si>
  <si>
    <t>TELUR AYAM KAMPUNG PACK</t>
  </si>
  <si>
    <t xml:space="preserve"> Pasar  Mekar </t>
  </si>
  <si>
    <t xml:space="preserve"> Minimarket  Akbar </t>
  </si>
  <si>
    <t xml:space="preserve"> Toko   Mulia </t>
  </si>
  <si>
    <t xml:space="preserve"> Grosir  Mantap</t>
  </si>
  <si>
    <t xml:space="preserve"> Warung  Serasi </t>
  </si>
  <si>
    <t xml:space="preserve"> Gudang  Berkah</t>
  </si>
  <si>
    <t xml:space="preserve"> Toko   Lancar </t>
  </si>
  <si>
    <t>ROTI ISI DAGING</t>
  </si>
  <si>
    <t>10-Agu-2025</t>
  </si>
  <si>
    <t xml:space="preserve"> Pasar  Sejuk </t>
  </si>
  <si>
    <t xml:space="preserve"> Minimarket  Andal </t>
  </si>
  <si>
    <t xml:space="preserve"> Toko  Baru</t>
  </si>
  <si>
    <t xml:space="preserve"> Grosir  Lama</t>
  </si>
  <si>
    <t xml:space="preserve">  Warung  Ramai </t>
  </si>
  <si>
    <t>Adaptor Charger HP Fast Charging</t>
  </si>
  <si>
    <t xml:space="preserve"> Gudang  Barat </t>
  </si>
  <si>
    <t>15-Okt-2025</t>
  </si>
  <si>
    <t xml:space="preserve"> Toko   Cepat </t>
  </si>
  <si>
    <t>BAWANG PUTIH 1 KG</t>
  </si>
  <si>
    <t xml:space="preserve"> Pasar  Jumat </t>
  </si>
  <si>
    <t xml:space="preserve"> Minimarket  Utama </t>
  </si>
  <si>
    <t xml:space="preserve"> Toko  Hemat </t>
  </si>
  <si>
    <t>Daging Sapi Beku 500g</t>
  </si>
  <si>
    <t xml:space="preserve"> Grosir   Terlaris </t>
  </si>
  <si>
    <t xml:space="preserve"> Warung  Sejuk </t>
  </si>
  <si>
    <t>Power Bank Mini 5000mAh</t>
  </si>
  <si>
    <t>15-Des-2025</t>
  </si>
  <si>
    <t xml:space="preserve"> Gudang  Timur </t>
  </si>
  <si>
    <t>Cermin Rias LED</t>
  </si>
  <si>
    <t xml:space="preserve"> Toko   Harapan </t>
  </si>
  <si>
    <t>SELAI KACANG 300G</t>
  </si>
  <si>
    <t xml:space="preserve"> Pasar  Pekan </t>
  </si>
  <si>
    <t xml:space="preserve"> Minimarket  Pusat </t>
  </si>
  <si>
    <t xml:space="preserve"> Toko  Kawan </t>
  </si>
  <si>
    <t xml:space="preserve"> Grosir  Bersama</t>
  </si>
  <si>
    <t xml:space="preserve"> Warung   Cepat </t>
  </si>
  <si>
    <t xml:space="preserve"> Gudang Utara</t>
  </si>
  <si>
    <t xml:space="preserve"> Toko   Adil </t>
  </si>
  <si>
    <t>BAHAN KUE PACK</t>
  </si>
  <si>
    <t xml:space="preserve"> Pasar  Senin </t>
  </si>
  <si>
    <t xml:space="preserve"> Minimarket  Jaya </t>
  </si>
  <si>
    <t xml:space="preserve"> Toko   Setia</t>
  </si>
  <si>
    <t xml:space="preserve"> Grosir   Hemat  Banget</t>
  </si>
  <si>
    <t xml:space="preserve"> Warung  Cinta</t>
  </si>
  <si>
    <t>Vacuum Cleaner Mini USB</t>
  </si>
  <si>
    <t xml:space="preserve"> Gudang  Selatan </t>
  </si>
  <si>
    <t>Sampo Kuda 500ml</t>
  </si>
  <si>
    <t>10-Mei-2026</t>
  </si>
  <si>
    <t xml:space="preserve"> " Toko Cipta"</t>
  </si>
  <si>
    <t>ROTI GANDUM UTUH</t>
  </si>
  <si>
    <t xml:space="preserve"> Pasar  Baru </t>
  </si>
  <si>
    <t xml:space="preserve"> Minimarket  Berkah </t>
  </si>
  <si>
    <t xml:space="preserve"> Grosir  Makmur</t>
  </si>
  <si>
    <t xml:space="preserve"> Warung  Jago</t>
  </si>
  <si>
    <t>Lampu Sorot LED Outdoor</t>
  </si>
  <si>
    <t xml:space="preserve"> Gudang  Indah </t>
  </si>
  <si>
    <t xml:space="preserve"> Toko  Ramah </t>
  </si>
  <si>
    <t>KERIPIK SINGKONG PEDAS</t>
  </si>
  <si>
    <t xml:space="preserve"> Pasar  Mewah </t>
  </si>
  <si>
    <t>10-Agu-2026</t>
  </si>
  <si>
    <t xml:space="preserve"> Minimarket  Unggul </t>
  </si>
  <si>
    <t xml:space="preserve"> Toko   Cermat </t>
  </si>
  <si>
    <t xml:space="preserve"> Grosir  Pintar</t>
  </si>
  <si>
    <t xml:space="preserve"> Warung  Hebat </t>
  </si>
  <si>
    <t>Charger Mobil Dual USB</t>
  </si>
  <si>
    <t xml:space="preserve"> Gudang  Asri </t>
  </si>
  <si>
    <t xml:space="preserve"> Toko   Gemilang </t>
  </si>
  <si>
    <t>BAHAN ROTI PREMIUM</t>
  </si>
  <si>
    <t>15-Okt-2026</t>
  </si>
  <si>
    <t xml:space="preserve"> Pasar  Raya  Besar </t>
  </si>
  <si>
    <t xml:space="preserve"> Minimarket  Lestari </t>
  </si>
  <si>
    <t xml:space="preserve"> Toko   Damai  Abadi</t>
  </si>
  <si>
    <t xml:space="preserve"> Grosir  Tani </t>
  </si>
  <si>
    <t xml:space="preserve"> Warung   Tengah </t>
  </si>
  <si>
    <t xml:space="preserve"> Gudang  Rahmat </t>
  </si>
  <si>
    <t>15-Des-2026</t>
  </si>
  <si>
    <t xml:space="preserve"> Toko  Istana </t>
  </si>
  <si>
    <t>COKLAT BUBUK MURNI</t>
  </si>
  <si>
    <t xml:space="preserve"> Pasar  Kilat </t>
  </si>
  <si>
    <t xml:space="preserve"> Minimarket  Hemat </t>
  </si>
  <si>
    <t xml:space="preserve"> Toko   Sahabat </t>
  </si>
  <si>
    <t xml:space="preserve"> Grosir  Dunia </t>
  </si>
  <si>
    <t xml:space="preserve"> Warung  Jasa</t>
  </si>
  <si>
    <t>Kamera CCTV Indoor</t>
  </si>
  <si>
    <t xml:space="preserve"> Gudang  Barokah</t>
  </si>
  <si>
    <t xml:space="preserve"> Toko   Cemerlang </t>
  </si>
  <si>
    <t>BERAS PREMIUM 5 KG</t>
  </si>
  <si>
    <t xml:space="preserve"> Pasar  Kemayoran </t>
  </si>
  <si>
    <t xml:space="preserve"> Minimarket  Bintang </t>
  </si>
  <si>
    <t xml:space="preserve"> Toko  Karya </t>
  </si>
  <si>
    <t xml:space="preserve"> Grosir   Sempurna </t>
  </si>
  <si>
    <t xml:space="preserve"> Warung  Berkah</t>
  </si>
  <si>
    <t xml:space="preserve"> " Gudang   Cepat  "</t>
  </si>
  <si>
    <t>Sunscreen SPF 50+</t>
  </si>
  <si>
    <t xml:space="preserve"> Toko  Maju  Lancar</t>
  </si>
  <si>
    <t>MI INSTAN KUAH PEDAS</t>
  </si>
  <si>
    <t>10-Mei-2027</t>
  </si>
  <si>
    <t xml:space="preserve"> Pasar  Senja </t>
  </si>
  <si>
    <t xml:space="preserve"> Minimarket  Terdekat </t>
  </si>
  <si>
    <t xml:space="preserve"> Toko   Harum </t>
  </si>
  <si>
    <t xml:space="preserve"> Grosir   Mulia </t>
  </si>
  <si>
    <t>Teh Botol 450ml</t>
  </si>
  <si>
    <t xml:space="preserve"> Warung  Barokah</t>
  </si>
  <si>
    <t>Smart Plug WiFi</t>
  </si>
  <si>
    <t xml:space="preserve"> Gudang  Jaya  Abadi</t>
  </si>
  <si>
    <t xml:space="preserve"> Toko  Cita </t>
  </si>
  <si>
    <t>GULA MERAH BATOK</t>
  </si>
  <si>
    <t xml:space="preserve"> Pasar  Tanjung </t>
  </si>
  <si>
    <t xml:space="preserve"> Minimarket  Pahlawan </t>
  </si>
  <si>
    <t>10-Agu-2027</t>
  </si>
  <si>
    <t xml:space="preserve"> Toko   Sinar  Jaya</t>
  </si>
  <si>
    <t xml:space="preserve"> Grosir  Mega </t>
  </si>
  <si>
    <t xml:space="preserve"> Warung  Kecil</t>
  </si>
  <si>
    <t>Lampu Belajar LED Fleksibel</t>
  </si>
  <si>
    <t xml:space="preserve"> Gudang  Pintar</t>
  </si>
  <si>
    <t xml:space="preserve"> Toko   Semesta </t>
  </si>
  <si>
    <t>KERUPUK SAYUR</t>
  </si>
  <si>
    <t xml:space="preserve"> Pasar  Pagi  Hari </t>
  </si>
  <si>
    <t>15-Okt-2027</t>
  </si>
  <si>
    <t xml:space="preserve"> Minimarket  Jasa </t>
  </si>
  <si>
    <t xml:space="preserve"> Toko   Mitra </t>
  </si>
  <si>
    <t xml:space="preserve"> Grosir  Pusat  Kota</t>
  </si>
  <si>
    <t xml:space="preserve"> Warung  Damai</t>
  </si>
  <si>
    <t>Hard Disk Eksternal 1TB</t>
  </si>
  <si>
    <t xml:space="preserve"> " Gudang Serba Ada"</t>
  </si>
  <si>
    <t xml:space="preserve"> Toko   Ramai </t>
  </si>
  <si>
    <t>TEH HIJAU DAUN</t>
  </si>
  <si>
    <t>15-Des-2027</t>
  </si>
  <si>
    <t xml:space="preserve"> Pasar  Pahlawan </t>
  </si>
  <si>
    <t xml:space="preserve"> Minimarket  Sehat </t>
  </si>
  <si>
    <t xml:space="preserve"> Toko  Besar </t>
  </si>
  <si>
    <t xml:space="preserve"> Grosir   Abadi </t>
  </si>
  <si>
    <t xml:space="preserve"> Warung   Murni </t>
  </si>
  <si>
    <t xml:space="preserve"> Gudang  Makmur</t>
  </si>
  <si>
    <t xml:space="preserve"> Toko   Pelita </t>
  </si>
  <si>
    <t>BAWANG MERAH 1 KG</t>
  </si>
  <si>
    <t xml:space="preserve"> Minimarket  Cahaya </t>
  </si>
  <si>
    <t xml:space="preserve"> Toko  Mandiri </t>
  </si>
  <si>
    <t xml:space="preserve"> Grosir  Andal </t>
  </si>
  <si>
    <t xml:space="preserve"> Warung  Gembira </t>
  </si>
  <si>
    <t xml:space="preserve"> Gudang  Muda</t>
  </si>
  <si>
    <t xml:space="preserve"> Toko   Rajin </t>
  </si>
  <si>
    <t>BERAS MERAH ORGANIK</t>
  </si>
  <si>
    <t xml:space="preserve"> Pasar  Jumat  Berkah </t>
  </si>
  <si>
    <t>10-Mei-2028</t>
  </si>
  <si>
    <t xml:space="preserve"> Minimarket  Adil </t>
  </si>
  <si>
    <t xml:space="preserve"> Toko   Nyata </t>
  </si>
  <si>
    <t xml:space="preserve"> Grosir   Terdepan </t>
  </si>
  <si>
    <t>Webcam HD</t>
  </si>
  <si>
    <t xml:space="preserve"> " Gudang Cepat "</t>
  </si>
  <si>
    <t xml:space="preserve"> Toko  Ramah  Tamah</t>
  </si>
  <si>
    <t>KUE KERING NATAL</t>
  </si>
  <si>
    <t xml:space="preserve"> Minimarket  Pagi </t>
  </si>
  <si>
    <t xml:space="preserve"> Toko   Pertiwi </t>
  </si>
  <si>
    <t>10-Agu-2028</t>
  </si>
  <si>
    <t xml:space="preserve"> Grosir  Utama</t>
  </si>
  <si>
    <t xml:space="preserve"> Warung  Barat </t>
  </si>
  <si>
    <t>Power Bank 20000mAh</t>
  </si>
  <si>
    <t xml:space="preserve"> Gudang  Baru  Lagi</t>
  </si>
  <si>
    <t xml:space="preserve"> Toko   Keren </t>
  </si>
  <si>
    <t>MINYAK WIJEN 250ML</t>
  </si>
  <si>
    <t xml:space="preserve"> Pasar  Minggu </t>
  </si>
  <si>
    <t xml:space="preserve"> Minimarket  Terang </t>
  </si>
  <si>
    <t>15-Okt-2028</t>
  </si>
  <si>
    <t xml:space="preserve"> Toko   Adinda </t>
  </si>
  <si>
    <t xml:space="preserve"> Grosir   Sakti </t>
  </si>
  <si>
    <t xml:space="preserve"> Warung  Santai  Pagi</t>
  </si>
  <si>
    <t xml:space="preserve"> Gudang  Mega</t>
  </si>
  <si>
    <t xml:space="preserve"> Toko  Senang</t>
  </si>
  <si>
    <t>KEJU MOZZARELLA 250G</t>
  </si>
  <si>
    <t xml:space="preserve"> Pasar  Pagi  Ceria </t>
  </si>
  <si>
    <t>15-Des-2028</t>
  </si>
  <si>
    <t xml:space="preserve"> Minimarket  Super </t>
  </si>
  <si>
    <t xml:space="preserve"> Toko   Masa  Depan</t>
  </si>
  <si>
    <t xml:space="preserve"> Grosir  Baru </t>
  </si>
  <si>
    <t xml:space="preserve"> Warung  Cemerlang</t>
  </si>
  <si>
    <t xml:space="preserve"> Gudang  Paling  Murah</t>
  </si>
  <si>
    <t>BISKUIT RASA PISANG</t>
  </si>
  <si>
    <t xml:space="preserve"> Pasar  Terpadu </t>
  </si>
  <si>
    <t xml:space="preserve"> Minimarket  Bersinar </t>
  </si>
  <si>
    <t xml:space="preserve"> Toko  Segar</t>
  </si>
  <si>
    <t>Buah Anggur Merah 1kg</t>
  </si>
  <si>
    <t xml:space="preserve"> Grosir   Cepat </t>
  </si>
  <si>
    <t xml:space="preserve"> Warung   Sehat  Bugar</t>
  </si>
  <si>
    <t>Tripod HP Fleksibel</t>
  </si>
  <si>
    <t xml:space="preserve"> Gudang   Lancar </t>
  </si>
  <si>
    <t xml:space="preserve"> " Toko Cipta Rasa"</t>
  </si>
  <si>
    <t>AYAM POTONG SEGAR</t>
  </si>
  <si>
    <t xml:space="preserve"> Pasar  Indah </t>
  </si>
  <si>
    <t xml:space="preserve"> Minimarket  Damai </t>
  </si>
  <si>
    <t>10-Mei-2029</t>
  </si>
  <si>
    <t xml:space="preserve"> Toko   Sukses </t>
  </si>
  <si>
    <t xml:space="preserve"> Grosir  Pertiwi</t>
  </si>
  <si>
    <t xml:space="preserve"> Warung  Jaya  Selalu</t>
  </si>
  <si>
    <t xml:space="preserve"> Gudang  Utama  Jaya</t>
  </si>
  <si>
    <t>Hand Sanitizer Gel 500ml</t>
  </si>
  <si>
    <t xml:space="preserve"> Toko   Lengkap  </t>
  </si>
  <si>
    <t>TELUR BEBEK PACK 6</t>
  </si>
  <si>
    <t xml:space="preserve"> Pasar  Tani </t>
  </si>
  <si>
    <t xml:space="preserve"> Toko  Serba  Ada</t>
  </si>
  <si>
    <t xml:space="preserve"> Grosir  Maju</t>
  </si>
  <si>
    <t>Susu Bubuk Full Cream 400g</t>
  </si>
  <si>
    <t>10-Agu-2929</t>
  </si>
  <si>
    <t xml:space="preserve"> Warung  Baru</t>
  </si>
  <si>
    <t xml:space="preserve"> Toko   Hoki </t>
  </si>
  <si>
    <t>PASTA GIGI ANAK</t>
  </si>
  <si>
    <t xml:space="preserve"> Pasar  Jaya </t>
  </si>
  <si>
    <t xml:space="preserve"> Minimarket  Cepat </t>
  </si>
  <si>
    <t xml:space="preserve"> Toko  Mulia</t>
  </si>
  <si>
    <t>Mentega Putih 500g</t>
  </si>
  <si>
    <t>15-Okt-2929</t>
  </si>
  <si>
    <t xml:space="preserve"> Grosir   Laris </t>
  </si>
  <si>
    <t xml:space="preserve"> Warung  Kecil  Pojok</t>
  </si>
  <si>
    <t xml:space="preserve"> Toko   Pelangi </t>
  </si>
  <si>
    <t>SARDEN SAUS CABAI</t>
  </si>
  <si>
    <t xml:space="preserve"> Pasar  Subuh </t>
  </si>
  <si>
    <t>15-Des-2929</t>
  </si>
  <si>
    <t xml:space="preserve"> Toko  Abadi  Selalu</t>
  </si>
  <si>
    <t xml:space="preserve"> Grosir  Senja</t>
  </si>
  <si>
    <t xml:space="preserve"> Warung   Santai </t>
  </si>
  <si>
    <t xml:space="preserve"> Toko   Barokah </t>
  </si>
  <si>
    <t>BAHAN ROTI GANDUM</t>
  </si>
  <si>
    <t xml:space="preserve"> Toko  Istimewa </t>
  </si>
  <si>
    <t xml:space="preserve"> Grosir  Emas</t>
  </si>
  <si>
    <t xml:space="preserve"> Warung   Damai </t>
  </si>
  <si>
    <t>Kabel LAN UTP 10M</t>
  </si>
  <si>
    <t xml:space="preserve"> Gudang   Besar  Sekali</t>
  </si>
  <si>
    <t xml:space="preserve"> Toko   Maju  Terus</t>
  </si>
  <si>
    <t>SAYUR BAYAM SEGAR</t>
  </si>
  <si>
    <t xml:space="preserve"> Pasar  Rame  Banget</t>
  </si>
  <si>
    <t>Jilbab Instan Syar'i</t>
  </si>
  <si>
    <t xml:space="preserve"> Toko  Hebat</t>
  </si>
  <si>
    <t>10-Mei-2030</t>
  </si>
  <si>
    <t xml:space="preserve"> Grosir   Terpercaya </t>
  </si>
  <si>
    <t xml:space="preserve"> Warung   Sejuk </t>
  </si>
  <si>
    <t>Antena TV Digital Outdoor</t>
  </si>
  <si>
    <t xml:space="preserve"> " Gudang   Canggih "</t>
  </si>
  <si>
    <t xml:space="preserve"> Toko   Terbaik </t>
  </si>
  <si>
    <t>KERUPUK KULIT SAPI</t>
  </si>
  <si>
    <t xml:space="preserve"> Minimarket  Nyaman </t>
  </si>
  <si>
    <t xml:space="preserve"> Toko  Seru</t>
  </si>
  <si>
    <t>10-Agu-2030</t>
  </si>
  <si>
    <t xml:space="preserve"> Gudang  Pelita </t>
  </si>
  <si>
    <t>GULA BATU 500G</t>
  </si>
  <si>
    <t xml:space="preserve"> Pasar  Pagi  Bugar</t>
  </si>
  <si>
    <t xml:space="preserve"> Toko  Sembako</t>
  </si>
  <si>
    <t>Tepung Beras Ketan 1kg</t>
  </si>
  <si>
    <t xml:space="preserve"> Grosir  Cepat</t>
  </si>
  <si>
    <t>15-Okt-2030</t>
  </si>
  <si>
    <t xml:space="preserve"> Gudang  Baru</t>
  </si>
  <si>
    <t xml:space="preserve"> Toko  Jaya</t>
  </si>
  <si>
    <t>BAWANG BOMBAY 1 KG</t>
  </si>
  <si>
    <t xml:space="preserve"> Pasar  Raya </t>
  </si>
  <si>
    <t>Garam Laut Murni 500g</t>
  </si>
  <si>
    <t>15-Des-2030</t>
  </si>
  <si>
    <t>Kabel Audio Jack 3.5mm</t>
  </si>
  <si>
    <t xml:space="preserve"> Toko   Mega </t>
  </si>
  <si>
    <t>NUGGET AYAM BEKU 500G</t>
  </si>
  <si>
    <t xml:space="preserve"> Pasar  Senja  Indah</t>
  </si>
  <si>
    <t xml:space="preserve"> Toko  Hoki</t>
  </si>
  <si>
    <t>Lampu UV Sterilisasi Portabel</t>
  </si>
  <si>
    <t xml:space="preserve"> Gudang  Besar</t>
  </si>
  <si>
    <t xml:space="preserve"> Toko   Bersama </t>
  </si>
  <si>
    <t>KOPI BUBUK KAPAL API</t>
  </si>
  <si>
    <t xml:space="preserve"> Pasar  Pagi </t>
  </si>
  <si>
    <t>Harga_Satuan</t>
  </si>
  <si>
    <t>Total Produk Terjual</t>
  </si>
  <si>
    <t>Profit</t>
  </si>
  <si>
    <t>Modal</t>
  </si>
  <si>
    <t>Margin</t>
  </si>
  <si>
    <t>Row Labels</t>
  </si>
  <si>
    <t>Grand Total</t>
  </si>
  <si>
    <t>Total_Invoice</t>
  </si>
  <si>
    <t>Sum of Total_Penjualan</t>
  </si>
  <si>
    <t>01/01/2023</t>
  </si>
  <si>
    <t>02/01/2023</t>
  </si>
  <si>
    <t>15/01/2023</t>
  </si>
  <si>
    <t>28/01/2023</t>
  </si>
  <si>
    <t>05/02/2023</t>
  </si>
  <si>
    <t>11/02/2023</t>
  </si>
  <si>
    <t>22/02/2023</t>
  </si>
  <si>
    <t>03/03/2023</t>
  </si>
  <si>
    <t>10/03/2023</t>
  </si>
  <si>
    <t>17/03/2023</t>
  </si>
  <si>
    <t>25/03/2023</t>
  </si>
  <si>
    <t>01/04/2023</t>
  </si>
  <si>
    <t>10/04/2023</t>
  </si>
  <si>
    <t>20/04/2023</t>
  </si>
  <si>
    <t>10/05/2023</t>
  </si>
  <si>
    <t>21/05/2023</t>
  </si>
  <si>
    <t>01/06/2023</t>
  </si>
  <si>
    <t>10/06/2023</t>
  </si>
  <si>
    <t>20/06/2023</t>
  </si>
  <si>
    <t>01/07/2023</t>
  </si>
  <si>
    <t>15/07/2023</t>
  </si>
  <si>
    <t>25/07/2023</t>
  </si>
  <si>
    <t>05/08/2023</t>
  </si>
  <si>
    <t>25/08/2023</t>
  </si>
  <si>
    <t>01/09/2023</t>
  </si>
  <si>
    <t>10/09/2023</t>
  </si>
  <si>
    <t>20/09/2023</t>
  </si>
  <si>
    <t>01/10/2023</t>
  </si>
  <si>
    <t>25/10/2023</t>
  </si>
  <si>
    <t>01/11/2023</t>
  </si>
  <si>
    <t>10/11/2023</t>
  </si>
  <si>
    <t>20/11/2023</t>
  </si>
  <si>
    <t>01/12/2023</t>
  </si>
  <si>
    <t>25/12/2023</t>
  </si>
  <si>
    <t>05/01/2024</t>
  </si>
  <si>
    <t>15/01/2024</t>
  </si>
  <si>
    <t>25/01/2024</t>
  </si>
  <si>
    <t>01/02/2024</t>
  </si>
  <si>
    <t>10/02/2024</t>
  </si>
  <si>
    <t>20/02/2024</t>
  </si>
  <si>
    <t>01/03/2024</t>
  </si>
  <si>
    <t>15/03/2024</t>
  </si>
  <si>
    <t>25/03/2024</t>
  </si>
  <si>
    <t>05/04/2024</t>
  </si>
  <si>
    <t>15/04/2024</t>
  </si>
  <si>
    <t>25/04/2024</t>
  </si>
  <si>
    <t>01/05/2024</t>
  </si>
  <si>
    <t>20/05/2024</t>
  </si>
  <si>
    <t>01/06/2024</t>
  </si>
  <si>
    <t>15/06/2024</t>
  </si>
  <si>
    <t>25/06/2024</t>
  </si>
  <si>
    <t>05/07/2024</t>
  </si>
  <si>
    <t>15/07/2024</t>
  </si>
  <si>
    <t>25/07/2024</t>
  </si>
  <si>
    <t>01/08/2024</t>
  </si>
  <si>
    <t>20/08/2024</t>
  </si>
  <si>
    <t>01/09/2024</t>
  </si>
  <si>
    <t>15/09/2024</t>
  </si>
  <si>
    <t>25/09/2024</t>
  </si>
  <si>
    <t>05/10/2024</t>
  </si>
  <si>
    <t>25/10/2024</t>
  </si>
  <si>
    <t>01/11/2024</t>
  </si>
  <si>
    <t>10/11/2024</t>
  </si>
  <si>
    <t>20/11/2024</t>
  </si>
  <si>
    <t>01/12/2024</t>
  </si>
  <si>
    <t>25/12/2024</t>
  </si>
  <si>
    <t>05/01/2025</t>
  </si>
  <si>
    <t>15/01/2025</t>
  </si>
  <si>
    <t>25/01/2025</t>
  </si>
  <si>
    <t>01/02/2025</t>
  </si>
  <si>
    <t>10/02/2025</t>
  </si>
  <si>
    <t>20/02/2025</t>
  </si>
  <si>
    <t>01/03/2025</t>
  </si>
  <si>
    <t>15/03/2025</t>
  </si>
  <si>
    <t>25/03/2025</t>
  </si>
  <si>
    <t>05/04/2025</t>
  </si>
  <si>
    <t>15/04/2025</t>
  </si>
  <si>
    <t>25/04/2025</t>
  </si>
  <si>
    <t>01/05/2025</t>
  </si>
  <si>
    <t>20/05/2025</t>
  </si>
  <si>
    <t>01/06/2025</t>
  </si>
  <si>
    <t>15/06/2025</t>
  </si>
  <si>
    <t>25/06/2025</t>
  </si>
  <si>
    <t>05/07/2025</t>
  </si>
  <si>
    <t>15/07/2025</t>
  </si>
  <si>
    <t>25/07/2025</t>
  </si>
  <si>
    <t>01/08/2025</t>
  </si>
  <si>
    <t>20/08/2025</t>
  </si>
  <si>
    <t>01/09/2025</t>
  </si>
  <si>
    <t>15/09/2025</t>
  </si>
  <si>
    <t>25/09/2025</t>
  </si>
  <si>
    <t>05/10/2025</t>
  </si>
  <si>
    <t>25/10/2025</t>
  </si>
  <si>
    <t>01/11/2025</t>
  </si>
  <si>
    <t>10/11/2025</t>
  </si>
  <si>
    <t>20/11/2025</t>
  </si>
  <si>
    <t>01/12/2025</t>
  </si>
  <si>
    <t>25/12/2025</t>
  </si>
  <si>
    <t>05/01/2026</t>
  </si>
  <si>
    <t>15/01/2026</t>
  </si>
  <si>
    <t>25/01/2026</t>
  </si>
  <si>
    <t>01/02/2026</t>
  </si>
  <si>
    <t>10/02/2026</t>
  </si>
  <si>
    <t>20/02/2026</t>
  </si>
  <si>
    <t>01/03/2026</t>
  </si>
  <si>
    <t>15/03/2026</t>
  </si>
  <si>
    <t>25/03/2026</t>
  </si>
  <si>
    <t>05/04/2026</t>
  </si>
  <si>
    <t>15/04/2026</t>
  </si>
  <si>
    <t>25/04/2026</t>
  </si>
  <si>
    <t>01/05/2026</t>
  </si>
  <si>
    <t>20/05/2026</t>
  </si>
  <si>
    <t>01/06/2026</t>
  </si>
  <si>
    <t>15/06/2026</t>
  </si>
  <si>
    <t>25/06/2026</t>
  </si>
  <si>
    <t>05/07/2026</t>
  </si>
  <si>
    <t>15/07/2026</t>
  </si>
  <si>
    <t>25/07/2026</t>
  </si>
  <si>
    <t>01/08/2026</t>
  </si>
  <si>
    <t>20/08/2026</t>
  </si>
  <si>
    <t>01/09/2026</t>
  </si>
  <si>
    <t>15/09/2026</t>
  </si>
  <si>
    <t>25/09/2026</t>
  </si>
  <si>
    <t>05/10/2026</t>
  </si>
  <si>
    <t>25/10/2026</t>
  </si>
  <si>
    <t>01/11/2026</t>
  </si>
  <si>
    <t>10/11/2026</t>
  </si>
  <si>
    <t>20/11/2026</t>
  </si>
  <si>
    <t>01/12/2026</t>
  </si>
  <si>
    <t>25/12/2026</t>
  </si>
  <si>
    <t>05/01/2027</t>
  </si>
  <si>
    <t>15/01/2027</t>
  </si>
  <si>
    <t>25/01/2027</t>
  </si>
  <si>
    <t>01/02/2027</t>
  </si>
  <si>
    <t>10/02/2027</t>
  </si>
  <si>
    <t>20/02/2027</t>
  </si>
  <si>
    <t>01/03/2027</t>
  </si>
  <si>
    <t>15/03/2027</t>
  </si>
  <si>
    <t>25/03/2027</t>
  </si>
  <si>
    <t>05/04/2027</t>
  </si>
  <si>
    <t>15/04/2027</t>
  </si>
  <si>
    <t>25/04/2027</t>
  </si>
  <si>
    <t>01/05/2027</t>
  </si>
  <si>
    <t>20/05/2027</t>
  </si>
  <si>
    <t>01/06/2027</t>
  </si>
  <si>
    <t>15/06/2027</t>
  </si>
  <si>
    <t>25/06/2027</t>
  </si>
  <si>
    <t>05/07/2027</t>
  </si>
  <si>
    <t>15/07/2027</t>
  </si>
  <si>
    <t>25/07/2027</t>
  </si>
  <si>
    <t>01/08/2027</t>
  </si>
  <si>
    <t>20/08/2027</t>
  </si>
  <si>
    <t>01/09/2027</t>
  </si>
  <si>
    <t>15/09/2027</t>
  </si>
  <si>
    <t>25/09/2027</t>
  </si>
  <si>
    <t>05/10/2027</t>
  </si>
  <si>
    <t>25/10/2027</t>
  </si>
  <si>
    <t>01/11/2027</t>
  </si>
  <si>
    <t>10/11/2027</t>
  </si>
  <si>
    <t>20/11/2027</t>
  </si>
  <si>
    <t>01/12/2027</t>
  </si>
  <si>
    <t>25/12/2027</t>
  </si>
  <si>
    <t>05/01/2028</t>
  </si>
  <si>
    <t>15/01/2028</t>
  </si>
  <si>
    <t>25/01/2028</t>
  </si>
  <si>
    <t>01/02/2028</t>
  </si>
  <si>
    <t>10/02/2028</t>
  </si>
  <si>
    <t>20/02/2028</t>
  </si>
  <si>
    <t>01/03/2028</t>
  </si>
  <si>
    <t>15/03/2028</t>
  </si>
  <si>
    <t>25/03/2028</t>
  </si>
  <si>
    <t>05/04/2028</t>
  </si>
  <si>
    <t>15/04/2028</t>
  </si>
  <si>
    <t>25/04/2028</t>
  </si>
  <si>
    <t>01/05/2028</t>
  </si>
  <si>
    <t>20/05/2028</t>
  </si>
  <si>
    <t>01/06/2028</t>
  </si>
  <si>
    <t>15/06/2028</t>
  </si>
  <si>
    <t>25/06/2028</t>
  </si>
  <si>
    <t>05/07/2028</t>
  </si>
  <si>
    <t>15/07/2028</t>
  </si>
  <si>
    <t>25/07/2028</t>
  </si>
  <si>
    <t>01/08/2028</t>
  </si>
  <si>
    <t>20/08/2028</t>
  </si>
  <si>
    <t>01/09/2028</t>
  </si>
  <si>
    <t>15/09/2028</t>
  </si>
  <si>
    <t>25/09/2028</t>
  </si>
  <si>
    <t>05/10/2028</t>
  </si>
  <si>
    <t>25/10/2028</t>
  </si>
  <si>
    <t>01/11/2028</t>
  </si>
  <si>
    <t>10/11/2028</t>
  </si>
  <si>
    <t>20/11/2028</t>
  </si>
  <si>
    <t>01/12/2028</t>
  </si>
  <si>
    <t>25/12/2028</t>
  </si>
  <si>
    <t>05/01/2029</t>
  </si>
  <si>
    <t>15/01/2029</t>
  </si>
  <si>
    <t>25/01/2029</t>
  </si>
  <si>
    <t>01/02/2029</t>
  </si>
  <si>
    <t>10/02/2029</t>
  </si>
  <si>
    <t>20/02/2029</t>
  </si>
  <si>
    <t>01/03/2029</t>
  </si>
  <si>
    <t>15/03/2029</t>
  </si>
  <si>
    <t>25/03/2029</t>
  </si>
  <si>
    <t>05/04/2029</t>
  </si>
  <si>
    <t>15/04/2029</t>
  </si>
  <si>
    <t>25/04/2029</t>
  </si>
  <si>
    <t>01/05/2029</t>
  </si>
  <si>
    <t>20/05/2029</t>
  </si>
  <si>
    <t>01/06/2029</t>
  </si>
  <si>
    <t>15/06/2029</t>
  </si>
  <si>
    <t>25/06/2029</t>
  </si>
  <si>
    <t>05/07/2029</t>
  </si>
  <si>
    <t>15/07/2929</t>
  </si>
  <si>
    <t>25/07/2029</t>
  </si>
  <si>
    <t>01/08/2029</t>
  </si>
  <si>
    <t>20/08/2029</t>
  </si>
  <si>
    <t>01/09/2029</t>
  </si>
  <si>
    <t>15/09/2929</t>
  </si>
  <si>
    <t>25/09/2029</t>
  </si>
  <si>
    <t>05/10/2029</t>
  </si>
  <si>
    <t>25/10/2029</t>
  </si>
  <si>
    <t>01/11/2029</t>
  </si>
  <si>
    <t>10/11/2929</t>
  </si>
  <si>
    <t>20/11/2029</t>
  </si>
  <si>
    <t>01/12/2029</t>
  </si>
  <si>
    <t>25/12/2029</t>
  </si>
  <si>
    <t>05/01/1930</t>
  </si>
  <si>
    <t>15/01/2030</t>
  </si>
  <si>
    <t>25/01/1930</t>
  </si>
  <si>
    <t>01/02/1930</t>
  </si>
  <si>
    <t>10/02/2030</t>
  </si>
  <si>
    <t>20/02/1930</t>
  </si>
  <si>
    <t>01/03/1930</t>
  </si>
  <si>
    <t>15/03/2030</t>
  </si>
  <si>
    <t>25/03/1930</t>
  </si>
  <si>
    <t>05/04/1930</t>
  </si>
  <si>
    <t>15/04/2030</t>
  </si>
  <si>
    <t>25/04/1930</t>
  </si>
  <si>
    <t>01/05/1930</t>
  </si>
  <si>
    <t>20/05/1930</t>
  </si>
  <si>
    <t>01/06/1930</t>
  </si>
  <si>
    <t>15/06/2030</t>
  </si>
  <si>
    <t>25/06/1930</t>
  </si>
  <si>
    <t>05/07/1930</t>
  </si>
  <si>
    <t>15/07/2030</t>
  </si>
  <si>
    <t>25/07/1930</t>
  </si>
  <si>
    <t>01/08/1930</t>
  </si>
  <si>
    <t>20/08/1930</t>
  </si>
  <si>
    <t>01/09/1930</t>
  </si>
  <si>
    <t>15/09/2030</t>
  </si>
  <si>
    <t>25/09/1930</t>
  </si>
  <si>
    <t>05/10/1930</t>
  </si>
  <si>
    <t>25/10/1930</t>
  </si>
  <si>
    <t>01/11/1930</t>
  </si>
  <si>
    <t>10/11/2030</t>
  </si>
  <si>
    <t>20/11/1930</t>
  </si>
  <si>
    <t>01/12/1930</t>
  </si>
  <si>
    <t>25/12/1930</t>
  </si>
  <si>
    <t>05/01/1931</t>
  </si>
  <si>
    <t>15/01/2031</t>
  </si>
  <si>
    <t>25/01/1931</t>
  </si>
  <si>
    <t>01/02/1931</t>
  </si>
  <si>
    <t>10/02/2031</t>
  </si>
  <si>
    <t>20/02/1931</t>
  </si>
  <si>
    <t>01/03/1931</t>
  </si>
  <si>
    <t>15/03/2031</t>
  </si>
  <si>
    <t>25/03/1931</t>
  </si>
  <si>
    <t>05/04/1931</t>
  </si>
  <si>
    <t>Total Penjualan Dengan Metode Pembayaran</t>
  </si>
  <si>
    <t>2023</t>
  </si>
  <si>
    <t>Jan</t>
  </si>
  <si>
    <t>Feb</t>
  </si>
  <si>
    <t>Mar</t>
  </si>
  <si>
    <t>Apr</t>
  </si>
  <si>
    <t>May</t>
  </si>
  <si>
    <t>Jun</t>
  </si>
  <si>
    <t>Jul</t>
  </si>
  <si>
    <t>Aug</t>
  </si>
  <si>
    <t>Sep</t>
  </si>
  <si>
    <t>Oct</t>
  </si>
  <si>
    <t>Nov</t>
  </si>
  <si>
    <t>Dec</t>
  </si>
  <si>
    <t>Sum of Profit</t>
  </si>
  <si>
    <t>PIVOT Total Penjualan Dan Profit</t>
  </si>
  <si>
    <t>Pivot Provit</t>
  </si>
  <si>
    <t>Total Penjualan Produk</t>
  </si>
  <si>
    <t>Sum of Qty</t>
  </si>
  <si>
    <t>Total Penjualan Per Kategori</t>
  </si>
  <si>
    <t>2025</t>
  </si>
  <si>
    <t>Metode Pembayaran</t>
  </si>
  <si>
    <t>Performa Toko</t>
  </si>
  <si>
    <t>Sum of Margin</t>
  </si>
  <si>
    <t>Tahun</t>
  </si>
  <si>
    <t>Total Profit</t>
  </si>
  <si>
    <t>Prediksi_Penjualan</t>
  </si>
  <si>
    <t>Batas_Bawah</t>
  </si>
  <si>
    <t>Batas_Atas</t>
  </si>
  <si>
    <t>PEFORMA SETIAP KOTA</t>
  </si>
  <si>
    <t>Average of Margin</t>
  </si>
  <si>
    <t>Count of ID_Transaksi</t>
  </si>
  <si>
    <t>Forecast menggunakan model time series Prophet berdasarkan data historis penjualan bulanan (2023–2025).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</si>
</sst>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Rp&quot;#,##0;\-&quot;Rp&quot;#,##0"/>
    <numFmt numFmtId="6" formatCode="&quot;Rp&quot;#,##0;[Red]\-&quot;Rp&quot;#,##0"/>
    <numFmt numFmtId="164" formatCode="dd/mm/yyyy;@"/>
    <numFmt numFmtId="165" formatCode="&quot;Rp&quot;#,##0"/>
    <numFmt numFmtId="166" formatCode="[$-F800]dddd\,\ mmmm\ dd\,\ yyyy"/>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1" tint="0.249977111117893"/>
      <name val="Calibri"/>
      <family val="2"/>
      <scheme val="minor"/>
    </font>
    <font>
      <sz val="14"/>
      <color theme="1" tint="0.249977111117893"/>
      <name val="Calibri"/>
      <family val="2"/>
      <scheme val="minor"/>
    </font>
    <font>
      <b/>
      <sz val="11"/>
      <color theme="1"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6" fontId="0" fillId="0" borderId="0" xfId="0" applyNumberFormat="1"/>
    <xf numFmtId="14" fontId="0" fillId="0" borderId="0" xfId="0" applyNumberFormat="1"/>
    <xf numFmtId="0" fontId="0" fillId="33" borderId="11" xfId="0" applyFill="1" applyBorder="1"/>
    <xf numFmtId="0" fontId="0" fillId="33" borderId="12" xfId="0" applyFill="1" applyBorder="1"/>
    <xf numFmtId="0" fontId="0" fillId="0" borderId="11" xfId="0" applyBorder="1"/>
    <xf numFmtId="0" fontId="0" fillId="0" borderId="12" xfId="0" applyBorder="1"/>
    <xf numFmtId="49" fontId="0" fillId="33" borderId="10" xfId="0" applyNumberFormat="1" applyFill="1" applyBorder="1"/>
    <xf numFmtId="49" fontId="0" fillId="0" borderId="10" xfId="0" applyNumberFormat="1" applyBorder="1"/>
    <xf numFmtId="164" fontId="0" fillId="0" borderId="0" xfId="0" applyNumberFormat="1"/>
    <xf numFmtId="164" fontId="0" fillId="33" borderId="10" xfId="0" applyNumberFormat="1" applyFill="1" applyBorder="1"/>
    <xf numFmtId="1" fontId="0" fillId="0" borderId="0" xfId="0" applyNumberFormat="1"/>
    <xf numFmtId="3" fontId="0" fillId="0" borderId="0" xfId="0" applyNumberFormat="1"/>
    <xf numFmtId="5"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13" xfId="0" applyBorder="1"/>
    <xf numFmtId="0" fontId="0" fillId="0" borderId="15" xfId="0" applyBorder="1"/>
    <xf numFmtId="166" fontId="0" fillId="0" borderId="0" xfId="0" applyNumberFormat="1"/>
    <xf numFmtId="166" fontId="0" fillId="33" borderId="10" xfId="0" applyNumberFormat="1" applyFill="1" applyBorder="1"/>
    <xf numFmtId="49" fontId="0" fillId="0" borderId="0" xfId="0" applyNumberFormat="1"/>
    <xf numFmtId="49" fontId="0" fillId="0" borderId="14" xfId="0" applyNumberFormat="1" applyBorder="1"/>
    <xf numFmtId="14" fontId="0" fillId="33" borderId="10" xfId="0" applyNumberFormat="1" applyFill="1" applyBorder="1"/>
    <xf numFmtId="14" fontId="0" fillId="0" borderId="10" xfId="0" applyNumberFormat="1" applyBorder="1"/>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Alignment="1">
      <alignment horizontal="center"/>
    </xf>
    <xf numFmtId="0" fontId="19" fillId="0" borderId="0" xfId="0" applyFont="1" applyAlignment="1">
      <alignment horizontal="left" vertical="center"/>
    </xf>
    <xf numFmtId="0" fontId="20" fillId="0" borderId="0" xfId="0" applyFont="1" applyAlignment="1">
      <alignment horizontal="left" vertical="center"/>
    </xf>
    <xf numFmtId="165" fontId="17" fillId="0" borderId="0" xfId="0" applyNumberFormat="1" applyFont="1"/>
    <xf numFmtId="0" fontId="17" fillId="0" borderId="0" xfId="0" applyFont="1"/>
    <xf numFmtId="0" fontId="0" fillId="0" borderId="0" xfId="0" applyNumberFormat="1"/>
    <xf numFmtId="0" fontId="21"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5" formatCode="&quot;Rp&quot;#,##0"/>
    </dxf>
    <dxf>
      <numFmt numFmtId="165" formatCode="&quot;Rp&quot;#,##0"/>
    </dxf>
    <dxf>
      <numFmt numFmtId="165" formatCode="&quot;Rp&quot;#,##0"/>
    </dxf>
    <dxf>
      <numFmt numFmtId="19" formatCode="dd/mm/yyyy"/>
    </dxf>
    <dxf>
      <border diagonalUp="0" diagonalDown="0">
        <left/>
        <right style="thin">
          <color theme="4" tint="0.39997558519241921"/>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66" formatCode="[$-F800]dddd\,\ mmmm\ dd\,\ yyyy"/>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numFmt numFmtId="165" formatCode="&quot;Rp&quot;#,##0"/>
    </dxf>
    <dxf>
      <numFmt numFmtId="165" formatCode="&quot;Rp&quot;#,##0"/>
    </dxf>
    <dxf>
      <numFmt numFmtId="165" formatCode="&quot;Rp&quot;#,##0"/>
    </dxf>
    <dxf>
      <numFmt numFmtId="165" formatCode="&quot;Rp&quot;#,##0"/>
    </dxf>
    <dxf>
      <numFmt numFmtId="165" formatCode="&quot;Rp&quot;#,##0"/>
    </dxf>
    <dxf>
      <numFmt numFmtId="1" formatCode="0"/>
    </dxf>
    <dxf>
      <numFmt numFmtId="0" formatCode="General"/>
    </dxf>
    <dxf>
      <numFmt numFmtId="19" formatCode="dd/mm/yyyy"/>
    </dxf>
    <dxf>
      <numFmt numFmtId="165" formatCode="&quot;Rp&quot;#,##0"/>
      <alignment horizontal="center" vertical="center" textRotation="0" wrapText="0" indent="0" justifyLastLine="0" shrinkToFit="0" readingOrder="0"/>
    </dxf>
    <dxf>
      <numFmt numFmtId="165" formatCode="&quot;Rp&quot;#,##0"/>
      <alignment horizontal="center" vertical="center" textRotation="0" wrapText="0" indent="0" justifyLastLine="0" shrinkToFit="0" readingOrder="0"/>
    </dxf>
    <dxf>
      <numFmt numFmtId="165" formatCode="&quot;Rp&quot;#,##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right/>
        <top/>
        <bottom/>
        <vertical/>
        <horizontal/>
      </border>
    </dxf>
    <dxf>
      <fill>
        <patternFill>
          <bgColor rgb="FF002060"/>
        </patternFill>
      </fill>
      <border diagonalUp="0" diagonalDown="0">
        <left style="thin">
          <color auto="1"/>
        </left>
        <right style="thin">
          <color auto="1"/>
        </right>
        <top style="thin">
          <color auto="1"/>
        </top>
        <bottom style="thin">
          <color auto="1"/>
        </bottom>
        <vertical style="thin">
          <color auto="1"/>
        </vertical>
        <horizontal/>
      </border>
    </dxf>
    <dxf>
      <fill>
        <patternFill>
          <bgColor rgb="FF7030A0"/>
        </patternFill>
      </fill>
      <border>
        <left style="thick">
          <color auto="1"/>
        </left>
        <right style="thick">
          <color auto="1"/>
        </right>
        <top style="thick">
          <color auto="1"/>
        </top>
        <bottom style="thick">
          <color auto="1"/>
        </bottom>
      </border>
    </dxf>
    <dxf>
      <fill>
        <patternFill>
          <bgColor rgb="FF92D050"/>
        </patternFill>
      </fill>
    </dxf>
    <dxf>
      <fill>
        <patternFill>
          <bgColor rgb="FF92D050"/>
        </patternFill>
      </fill>
    </dxf>
    <dxf>
      <border diagonalUp="0" diagonalDown="0">
        <left/>
        <right/>
        <top/>
        <bottom/>
        <vertical/>
        <horizontal/>
      </border>
    </dxf>
  </dxfs>
  <tableStyles count="9" defaultTableStyle="TableStyleMedium2" defaultPivotStyle="PivotStyleLight16">
    <tableStyle name="Slicer Style 1" pivot="0" table="0" count="0" xr9:uid="{9F26F276-1C9C-45FA-AE86-D0003C9206D2}"/>
    <tableStyle name="Slicer Style 2" pivot="0" table="0" count="0" xr9:uid="{A4B3F643-343D-4A0B-9C71-DE6E48BD7EFF}"/>
    <tableStyle name="Slicer Style 3" pivot="0" table="0" count="0" xr9:uid="{3E8542B6-DE7D-4705-817C-6E7CA0C0A4EC}"/>
    <tableStyle name="Slicer Style 4" pivot="0" table="0" count="1" xr9:uid="{743CCA44-45A2-4736-992F-FF5EC6AE5E97}">
      <tableStyleElement type="wholeTable" dxfId="35"/>
    </tableStyle>
    <tableStyle name="Slicer Style 5" pivot="0" table="0" count="1" xr9:uid="{3585A27C-4007-4384-9C7F-0B6E731C032A}">
      <tableStyleElement type="wholeTable" dxfId="34"/>
    </tableStyle>
    <tableStyle name="Slicer Style 6" pivot="0" table="0" count="1" xr9:uid="{D7943044-A4B8-43A4-BECC-2964B26B8AB5}">
      <tableStyleElement type="wholeTable" dxfId="33"/>
    </tableStyle>
    <tableStyle name="Slicer Style 7" pivot="0" table="0" count="1" xr9:uid="{F9654C7E-55C6-4A18-8CF6-D5DFC48BD570}">
      <tableStyleElement type="wholeTable" dxfId="32"/>
    </tableStyle>
    <tableStyle name="Slicer Style 8" pivot="0" table="0" count="1" xr9:uid="{667182F5-4374-4356-A908-64AEBF5CCEA0}">
      <tableStyleElement type="wholeTable" dxfId="31"/>
    </tableStyle>
    <tableStyle name="Slicer Style 9" pivot="0" table="0" count="1" xr9:uid="{E84B4D53-CBA9-4976-AF98-A3F462A47AA2}">
      <tableStyleElement type="wholeTable" dxfId="3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Penjualn.xlsx]PivotTable!PivotTotalPenjualandanProfit</c:name>
    <c:fmtId val="27"/>
  </c:pivotSource>
  <c:chart>
    <c:title>
      <c:tx>
        <c:rich>
          <a:bodyPr rot="0" spcFirstLastPara="1" vertOverflow="ellipsis" vert="horz" wrap="square" anchor="b" anchorCtr="1"/>
          <a:lstStyle/>
          <a:p>
            <a:pPr>
              <a:defRPr sz="1400" b="0" i="0" u="none" strike="noStrike" kern="1200" spc="0" baseline="0">
                <a:solidFill>
                  <a:schemeClr val="tx1">
                    <a:lumMod val="65000"/>
                    <a:lumOff val="35000"/>
                  </a:schemeClr>
                </a:solidFill>
                <a:latin typeface="+mn-lt"/>
                <a:ea typeface="+mn-ea"/>
                <a:cs typeface="+mn-cs"/>
              </a:defRPr>
            </a:pPr>
            <a:r>
              <a:rPr lang="en-ID" sz="1600" b="1" kern="1200" cap="none" spc="60" baseline="0"/>
              <a:t>PENJUALAN &amp; PROFIT PER BULAN</a:t>
            </a:r>
          </a:p>
        </c:rich>
      </c:tx>
      <c:layout>
        <c:manualLayout>
          <c:xMode val="edge"/>
          <c:yMode val="edge"/>
          <c:x val="2.5026325699068503E-2"/>
          <c:y val="1.3148803734950486E-2"/>
        </c:manualLayout>
      </c:layout>
      <c:overlay val="0"/>
      <c:spPr>
        <a:noFill/>
        <a:ln>
          <a:noFill/>
        </a:ln>
        <a:effectLst/>
      </c:spPr>
      <c:txPr>
        <a:bodyPr rot="0" spcFirstLastPara="1" vertOverflow="ellipsis" vert="horz" wrap="square" anchor="b"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 cap="rnd" cmpd="dbl">
            <a:solidFill>
              <a:schemeClr val="accent1"/>
            </a:solidFill>
            <a:prstDash val="soli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3175" cap="rnd" cmpd="dbl">
            <a:solidFill>
              <a:schemeClr val="accent1"/>
            </a:solidFill>
            <a:prstDash val="soli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3175" cap="rnd" cmpd="dbl">
            <a:solidFill>
              <a:schemeClr val="accent1"/>
            </a:solidFill>
            <a:prstDash val="soli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pPr>
            <a:no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3175" cap="rnd" cmpd="dbl">
            <a:solidFill>
              <a:schemeClr val="accent1"/>
            </a:solidFill>
            <a:prstDash val="soli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38100" cap="rnd">
            <a:solidFill>
              <a:schemeClr val="accent1"/>
            </a:solidFill>
            <a:round/>
          </a:ln>
          <a:effectLst/>
        </c:spPr>
        <c:marker>
          <c:spPr>
            <a:no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3175" cap="rnd" cmpd="dbl">
            <a:solidFill>
              <a:schemeClr val="accent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PivotTable!$B$20</c:f>
              <c:strCache>
                <c:ptCount val="1"/>
                <c:pt idx="0">
                  <c:v>Total Penjualan</c:v>
                </c:pt>
              </c:strCache>
            </c:strRef>
          </c:tx>
          <c:spPr>
            <a:solidFill>
              <a:schemeClr val="accent1"/>
            </a:solidFill>
            <a:ln w="3175" cap="rnd" cmpd="dbl">
              <a:solidFill>
                <a:schemeClr val="accent1"/>
              </a:solidFill>
              <a:prstDash val="solid"/>
            </a:ln>
            <a:effectLst/>
          </c:spPr>
          <c:invertIfNegative val="0"/>
          <c:cat>
            <c:strRef>
              <c:f>PivotTable!$A$21:$A$33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PivotTable!$B$21:$B$33</c:f>
              <c:numCache>
                <c:formatCode>"Rp"#,##0</c:formatCode>
                <c:ptCount val="12"/>
                <c:pt idx="0">
                  <c:v>2770500</c:v>
                </c:pt>
                <c:pt idx="1">
                  <c:v>2254000</c:v>
                </c:pt>
                <c:pt idx="2">
                  <c:v>1015000</c:v>
                </c:pt>
                <c:pt idx="3">
                  <c:v>3618000</c:v>
                </c:pt>
                <c:pt idx="4">
                  <c:v>2705000</c:v>
                </c:pt>
                <c:pt idx="5">
                  <c:v>2607000</c:v>
                </c:pt>
                <c:pt idx="6">
                  <c:v>3867500</c:v>
                </c:pt>
                <c:pt idx="7">
                  <c:v>3200000</c:v>
                </c:pt>
                <c:pt idx="8">
                  <c:v>3379000</c:v>
                </c:pt>
                <c:pt idx="9">
                  <c:v>1631000</c:v>
                </c:pt>
                <c:pt idx="10">
                  <c:v>4757500</c:v>
                </c:pt>
                <c:pt idx="11">
                  <c:v>4132000</c:v>
                </c:pt>
              </c:numCache>
            </c:numRef>
          </c:val>
          <c:extLst>
            <c:ext xmlns:c16="http://schemas.microsoft.com/office/drawing/2014/chart" uri="{C3380CC4-5D6E-409C-BE32-E72D297353CC}">
              <c16:uniqueId val="{00000014-4BDD-4546-AABE-707589200832}"/>
            </c:ext>
          </c:extLst>
        </c:ser>
        <c:ser>
          <c:idx val="1"/>
          <c:order val="1"/>
          <c:tx>
            <c:strRef>
              <c:f>PivotTable!$C$20</c:f>
              <c:strCache>
                <c:ptCount val="1"/>
                <c:pt idx="0">
                  <c:v>Total Profit</c:v>
                </c:pt>
              </c:strCache>
            </c:strRef>
          </c:tx>
          <c:spPr>
            <a:solidFill>
              <a:schemeClr val="accent2"/>
            </a:solidFill>
            <a:ln w="38100">
              <a:noFill/>
            </a:ln>
            <a:effectLst/>
          </c:spPr>
          <c:invertIfNegative val="0"/>
          <c:cat>
            <c:strRef>
              <c:f>PivotTable!$A$21:$A$33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PivotTable!$C$21:$C$33</c:f>
              <c:numCache>
                <c:formatCode>"Rp"#,##0</c:formatCode>
                <c:ptCount val="12"/>
                <c:pt idx="0">
                  <c:v>2031000</c:v>
                </c:pt>
                <c:pt idx="1">
                  <c:v>1969600</c:v>
                </c:pt>
                <c:pt idx="2">
                  <c:v>631000</c:v>
                </c:pt>
                <c:pt idx="3">
                  <c:v>2848800</c:v>
                </c:pt>
                <c:pt idx="4">
                  <c:v>1989200</c:v>
                </c:pt>
                <c:pt idx="5">
                  <c:v>1863000</c:v>
                </c:pt>
                <c:pt idx="6">
                  <c:v>2468000</c:v>
                </c:pt>
                <c:pt idx="7">
                  <c:v>2475800</c:v>
                </c:pt>
                <c:pt idx="8">
                  <c:v>2493400</c:v>
                </c:pt>
                <c:pt idx="9">
                  <c:v>1332800</c:v>
                </c:pt>
                <c:pt idx="10">
                  <c:v>3326200</c:v>
                </c:pt>
                <c:pt idx="11">
                  <c:v>3316300</c:v>
                </c:pt>
              </c:numCache>
            </c:numRef>
          </c:val>
          <c:extLst>
            <c:ext xmlns:c16="http://schemas.microsoft.com/office/drawing/2014/chart" uri="{C3380CC4-5D6E-409C-BE32-E72D297353CC}">
              <c16:uniqueId val="{00000015-4BDD-4546-AABE-707589200832}"/>
            </c:ext>
          </c:extLst>
        </c:ser>
        <c:dLbls>
          <c:showLegendKey val="0"/>
          <c:showVal val="0"/>
          <c:showCatName val="0"/>
          <c:showSerName val="0"/>
          <c:showPercent val="0"/>
          <c:showBubbleSize val="0"/>
        </c:dLbls>
        <c:gapWidth val="219"/>
        <c:overlap val="-27"/>
        <c:axId val="570056536"/>
        <c:axId val="570060856"/>
      </c:barChart>
      <c:valAx>
        <c:axId val="570060856"/>
        <c:scaling>
          <c:orientation val="minMax"/>
        </c:scaling>
        <c:delete val="0"/>
        <c:axPos val="r"/>
        <c:numFmt formatCode="&quot;Rp&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056536"/>
        <c:crosses val="max"/>
        <c:crossBetween val="between"/>
      </c:valAx>
      <c:catAx>
        <c:axId val="570056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0608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[Analisis Data Penjualn.xlsx]PivotTable!PivotTable1</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a:t>Penjualan Berdasarakan Kategori</a:t>
            </a:r>
          </a:p>
        </c:rich>
      </c:tx>
      <c:layout>
        <c:manualLayout>
          <c:xMode val="edge"/>
          <c:yMode val="edge"/>
          <c:x val="4.1775231931826862E-2"/>
          <c:y val="2.351203093961110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layout>
            <c:manualLayout>
              <c:x val="5.5526019405250492E-3"/>
              <c:y val="4.6378395117633135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layout>
            <c:manualLayout>
              <c:x val="5.5526019405250492E-3"/>
              <c:y val="4.6378395117633135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6"/>
          </a:solidFill>
          <a:ln>
            <a:noFill/>
          </a:ln>
          <a:effectLst/>
        </c:spPr>
      </c:pivotFmt>
    </c:pivotFmts>
    <c:plotArea>
      <c:layout/>
      <c:barChart>
        <c:barDir val="bar"/>
        <c:grouping val="stacked"/>
        <c:varyColors val="0"/>
        <c:ser>
          <c:idx val="0"/>
          <c:order val="0"/>
          <c:tx>
            <c:strRef>
              <c:f>PivotTable!$B$43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PivotTable!$A$44:$A$50</c:f>
              <c:strCache>
                <c:ptCount val="6"/>
                <c:pt idx="0">
                  <c:v>Elektronik</c:v>
                </c:pt>
                <c:pt idx="1">
                  <c:v>Kecantikan</c:v>
                </c:pt>
                <c:pt idx="2">
                  <c:v>Mainan</c:v>
                </c:pt>
                <c:pt idx="3">
                  <c:v>Makanan</c:v>
                </c:pt>
                <c:pt idx="4">
                  <c:v>Minuman</c:v>
                </c:pt>
                <c:pt idx="5">
                  <c:v>Pakaian</c:v>
                </c:pt>
              </c:strCache>
            </c:strRef>
          </c:cat>
          <c:val>
            <c:numRef>
              <c:f>PivotTable!$B$44:$B$50</c:f>
              <c:numCache>
                <c:formatCode>"Rp"#,##0</c:formatCode>
                <c:ptCount val="6"/>
                <c:pt idx="0">
                  <c:v>5415000</c:v>
                </c:pt>
                <c:pt idx="1">
                  <c:v>3567000</c:v>
                </c:pt>
                <c:pt idx="2">
                  <c:v>7450000</c:v>
                </c:pt>
                <c:pt idx="3">
                  <c:v>8193000</c:v>
                </c:pt>
                <c:pt idx="4">
                  <c:v>3206500</c:v>
                </c:pt>
                <c:pt idx="5">
                  <c:v>8105000</c:v>
                </c:pt>
              </c:numCache>
            </c:numRef>
          </c:val>
          <c:extLst>
            <c:ext xmlns:c16="http://schemas.microsoft.com/office/drawing/2014/chart" uri="{C3380CC4-5D6E-409C-BE32-E72D297353CC}">
              <c16:uniqueId val="{0000000F-CBAB-4D29-8486-2AF9C1D20BF3}"/>
            </c:ext>
          </c:extLst>
        </c:ser>
        <c:dLbls>
          <c:dLblPos val="ctr"/>
          <c:showLegendKey val="0"/>
          <c:showVal val="1"/>
          <c:showCatName val="0"/>
          <c:showSerName val="0"/>
          <c:showPercent val="0"/>
          <c:showBubbleSize val="0"/>
        </c:dLbls>
        <c:gapWidth val="79"/>
        <c:overlap val="100"/>
        <c:axId val="559929624"/>
        <c:axId val="559929984"/>
      </c:barChart>
      <c:catAx>
        <c:axId val="559929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59929984"/>
        <c:crosses val="autoZero"/>
        <c:auto val="1"/>
        <c:lblAlgn val="ctr"/>
        <c:lblOffset val="100"/>
        <c:noMultiLvlLbl val="0"/>
      </c:catAx>
      <c:valAx>
        <c:axId val="559929984"/>
        <c:scaling>
          <c:orientation val="minMax"/>
        </c:scaling>
        <c:delete val="1"/>
        <c:axPos val="b"/>
        <c:numFmt formatCode="&quot;Rp&quot;#,##0" sourceLinked="1"/>
        <c:majorTickMark val="none"/>
        <c:minorTickMark val="none"/>
        <c:tickLblPos val="nextTo"/>
        <c:crossAx val="559929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Penjualn.xlsx]PivotTable!MetodePemabayaran</c:name>
    <c:fmtId val="19"/>
  </c:pivotSource>
  <c:chart>
    <c:title>
      <c:tx>
        <c:rich>
          <a:bodyPr rot="0" spcFirstLastPara="1" vertOverflow="ellipsis" vert="horz" wrap="square" anchor="ctr" anchorCtr="1"/>
          <a:lstStyle/>
          <a:p>
            <a:pPr>
              <a:defRPr sz="1400" b="1" i="0" u="none" strike="noStrike" kern="1200" spc="0" baseline="0">
                <a:solidFill>
                  <a:schemeClr val="bg1">
                    <a:lumMod val="50000"/>
                  </a:schemeClr>
                </a:solidFill>
                <a:latin typeface="+mn-lt"/>
                <a:ea typeface="+mn-ea"/>
                <a:cs typeface="+mn-cs"/>
              </a:defRPr>
            </a:pPr>
            <a:r>
              <a:rPr lang="en-ID" b="1" spc="200" baseline="0">
                <a:solidFill>
                  <a:schemeClr val="tx1">
                    <a:lumMod val="75000"/>
                    <a:lumOff val="25000"/>
                  </a:schemeClr>
                </a:solidFill>
              </a:rPr>
              <a:t>METODE PEMBAYARAN</a:t>
            </a:r>
          </a:p>
        </c:rich>
      </c:tx>
      <c:layout>
        <c:manualLayout>
          <c:xMode val="edge"/>
          <c:yMode val="edge"/>
          <c:x val="6.2195856877972563E-2"/>
          <c:y val="4.42250346197285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lumMod val="50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23109416861268117"/>
                  <c:h val="0.2120617890304535"/>
                </c:manualLayout>
              </c15:layout>
            </c:ext>
          </c:extLst>
        </c:dLbl>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pieChart>
        <c:varyColors val="1"/>
        <c:ser>
          <c:idx val="0"/>
          <c:order val="0"/>
          <c:tx>
            <c:strRef>
              <c:f>PivotTable!$B$53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A-26F9-4EBD-9020-F252FEBFFD2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0CA-4445-88E3-F51F5FEA449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0CA-4445-88E3-F51F5FEA449A}"/>
              </c:ext>
            </c:extLst>
          </c:dPt>
          <c:dLbls>
            <c:dLbl>
              <c:idx val="1"/>
              <c:dLblPos val="ctr"/>
              <c:showLegendKey val="0"/>
              <c:showVal val="0"/>
              <c:showCatName val="1"/>
              <c:showSerName val="0"/>
              <c:showPercent val="1"/>
              <c:showBubbleSize val="0"/>
              <c:extLst>
                <c:ext xmlns:c15="http://schemas.microsoft.com/office/drawing/2012/chart" uri="{CE6537A1-D6FC-4f65-9D91-7224C49458BB}">
                  <c15:layout>
                    <c:manualLayout>
                      <c:w val="0.23109416861268117"/>
                      <c:h val="0.2120617890304535"/>
                    </c:manualLayout>
                  </c15:layout>
                </c:ext>
                <c:ext xmlns:c16="http://schemas.microsoft.com/office/drawing/2014/chart" uri="{C3380CC4-5D6E-409C-BE32-E72D297353CC}">
                  <c16:uniqueId val="{00000003-A0CA-4445-88E3-F51F5FEA449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PivotTable!$A$54:$A$57</c:f>
              <c:strCache>
                <c:ptCount val="3"/>
                <c:pt idx="0">
                  <c:v>Kartu Debit</c:v>
                </c:pt>
                <c:pt idx="1">
                  <c:v>Kartu Kredit</c:v>
                </c:pt>
                <c:pt idx="2">
                  <c:v>Tunai</c:v>
                </c:pt>
              </c:strCache>
            </c:strRef>
          </c:cat>
          <c:val>
            <c:numRef>
              <c:f>PivotTable!$B$54:$B$57</c:f>
              <c:numCache>
                <c:formatCode>"Rp"#,##0</c:formatCode>
                <c:ptCount val="3"/>
                <c:pt idx="0">
                  <c:v>8305500</c:v>
                </c:pt>
                <c:pt idx="1">
                  <c:v>12790000</c:v>
                </c:pt>
                <c:pt idx="2">
                  <c:v>14841000</c:v>
                </c:pt>
              </c:numCache>
            </c:numRef>
          </c:val>
          <c:extLst>
            <c:ext xmlns:c16="http://schemas.microsoft.com/office/drawing/2014/chart" uri="{C3380CC4-5D6E-409C-BE32-E72D297353CC}">
              <c16:uniqueId val="{00000009-26F9-4EBD-9020-F252FEBFFD24}"/>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spc="120" baseline="0"/>
              <a:t>PREDIKSI PENJUALAN BULANAN</a:t>
            </a:r>
          </a:p>
        </c:rich>
      </c:tx>
      <c:layout>
        <c:manualLayout>
          <c:xMode val="edge"/>
          <c:yMode val="edge"/>
          <c:x val="3.9116369325921774E-2"/>
          <c:y val="2.74931745127448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1"/>
              <c:pt idx="0">
                <c:v>Feb</c:v>
              </c:pt>
              <c:pt idx="1">
                <c:v>Mar</c:v>
              </c:pt>
              <c:pt idx="2">
                <c:v>Apr</c:v>
              </c:pt>
              <c:pt idx="3">
                <c:v>May</c:v>
              </c:pt>
              <c:pt idx="4">
                <c:v>Jun</c:v>
              </c:pt>
              <c:pt idx="5">
                <c:v>Jul</c:v>
              </c:pt>
              <c:pt idx="6">
                <c:v>Aug</c:v>
              </c:pt>
              <c:pt idx="7">
                <c:v>Sep</c:v>
              </c:pt>
              <c:pt idx="8">
                <c:v>Oct</c:v>
              </c:pt>
              <c:pt idx="9">
                <c:v>Nov</c:v>
              </c:pt>
              <c:pt idx="10">
                <c:v>Dec</c:v>
              </c:pt>
            </c:strLit>
          </c:cat>
          <c:val>
            <c:numLit>
              <c:formatCode>General</c:formatCode>
              <c:ptCount val="11"/>
              <c:pt idx="0">
                <c:v>2049999.9999999998</c:v>
              </c:pt>
              <c:pt idx="1">
                <c:v>1720000</c:v>
              </c:pt>
              <c:pt idx="2">
                <c:v>2990000</c:v>
              </c:pt>
              <c:pt idx="3">
                <c:v>2210000</c:v>
              </c:pt>
              <c:pt idx="4">
                <c:v>2150000</c:v>
              </c:pt>
              <c:pt idx="5">
                <c:v>2890000</c:v>
              </c:pt>
              <c:pt idx="6">
                <c:v>2270000</c:v>
              </c:pt>
              <c:pt idx="7">
                <c:v>2480000</c:v>
              </c:pt>
              <c:pt idx="8">
                <c:v>1650000</c:v>
              </c:pt>
              <c:pt idx="9">
                <c:v>2930000</c:v>
              </c:pt>
              <c:pt idx="10">
                <c:v>2500000</c:v>
              </c:pt>
            </c:numLit>
          </c:val>
          <c:smooth val="0"/>
          <c:extLst>
            <c:ext xmlns:c16="http://schemas.microsoft.com/office/drawing/2014/chart" uri="{C3380CC4-5D6E-409C-BE32-E72D297353CC}">
              <c16:uniqueId val="{00000000-47BB-48BC-A838-71A9CE26CC10}"/>
            </c:ext>
          </c:extLst>
        </c:ser>
        <c:dLbls>
          <c:dLblPos val="t"/>
          <c:showLegendKey val="0"/>
          <c:showVal val="0"/>
          <c:showCatName val="0"/>
          <c:showSerName val="0"/>
          <c:showPercent val="0"/>
          <c:showBubbleSize val="0"/>
        </c:dLbls>
        <c:smooth val="0"/>
        <c:axId val="515870864"/>
        <c:axId val="515871584"/>
      </c:lineChart>
      <c:catAx>
        <c:axId val="515870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71584"/>
        <c:crosses val="autoZero"/>
        <c:auto val="1"/>
        <c:lblAlgn val="ctr"/>
        <c:lblOffset val="100"/>
        <c:noMultiLvlLbl val="0"/>
      </c:catAx>
      <c:valAx>
        <c:axId val="51587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7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650000</c:v>
              </c:pt>
              <c:pt idx="1">
                <c:v>990000</c:v>
              </c:pt>
              <c:pt idx="2">
                <c:v>280000</c:v>
              </c:pt>
              <c:pt idx="3">
                <c:v>240000</c:v>
              </c:pt>
              <c:pt idx="4">
                <c:v>360000</c:v>
              </c:pt>
              <c:pt idx="5">
                <c:v>755000</c:v>
              </c:pt>
              <c:pt idx="6">
                <c:v>1260000</c:v>
              </c:pt>
              <c:pt idx="7">
                <c:v>720000</c:v>
              </c:pt>
              <c:pt idx="8">
                <c:v>490000</c:v>
              </c:pt>
              <c:pt idx="9">
                <c:v>895000</c:v>
              </c:pt>
            </c:numLit>
          </c:val>
          <c:extLst>
            <c:ext xmlns:c16="http://schemas.microsoft.com/office/drawing/2014/chart" uri="{C3380CC4-5D6E-409C-BE32-E72D297353CC}">
              <c16:uniqueId val="{00000000-85A7-43C2-952D-9D2039BC9BC1}"/>
            </c:ext>
          </c:extLst>
        </c:ser>
        <c:ser>
          <c:idx val="1"/>
          <c:order val="1"/>
          <c:tx>
            <c:v>Series2</c:v>
          </c:tx>
          <c:spPr>
            <a:solidFill>
              <a:schemeClr val="accent2"/>
            </a:solidFill>
            <a:ln>
              <a:noFill/>
            </a:ln>
            <a:effectLst/>
          </c:spPr>
          <c:invertIfNegative val="0"/>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350000</c:v>
              </c:pt>
              <c:pt idx="1">
                <c:v>477000</c:v>
              </c:pt>
              <c:pt idx="2">
                <c:v>220000</c:v>
              </c:pt>
              <c:pt idx="3">
                <c:v>207000</c:v>
              </c:pt>
              <c:pt idx="4">
                <c:v>264000</c:v>
              </c:pt>
              <c:pt idx="5">
                <c:v>506000</c:v>
              </c:pt>
              <c:pt idx="6">
                <c:v>681000</c:v>
              </c:pt>
              <c:pt idx="7">
                <c:v>321000</c:v>
              </c:pt>
              <c:pt idx="8">
                <c:v>250000</c:v>
              </c:pt>
              <c:pt idx="9">
                <c:v>478000</c:v>
              </c:pt>
            </c:numLit>
          </c:val>
          <c:extLst>
            <c:ext xmlns:c16="http://schemas.microsoft.com/office/drawing/2014/chart" uri="{C3380CC4-5D6E-409C-BE32-E72D297353CC}">
              <c16:uniqueId val="{00000002-85A7-43C2-952D-9D2039BC9BC1}"/>
            </c:ext>
          </c:extLst>
        </c:ser>
        <c:ser>
          <c:idx val="2"/>
          <c:order val="2"/>
          <c:tx>
            <c:v>Series3</c:v>
          </c:tx>
          <c:spPr>
            <a:solidFill>
              <a:schemeClr val="accent3"/>
            </a:solidFill>
            <a:ln>
              <a:noFill/>
            </a:ln>
            <a:effectLst/>
          </c:spPr>
          <c:invertIfNegative val="0"/>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200000</c:v>
              </c:pt>
              <c:pt idx="1">
                <c:v>342000</c:v>
              </c:pt>
              <c:pt idx="2">
                <c:v>40000</c:v>
              </c:pt>
              <c:pt idx="3">
                <c:v>22000</c:v>
              </c:pt>
              <c:pt idx="4">
                <c:v>64000</c:v>
              </c:pt>
              <c:pt idx="5">
                <c:v>166000</c:v>
              </c:pt>
              <c:pt idx="6">
                <c:v>386000</c:v>
              </c:pt>
              <c:pt idx="7">
                <c:v>266000</c:v>
              </c:pt>
              <c:pt idx="8">
                <c:v>160000</c:v>
              </c:pt>
              <c:pt idx="9">
                <c:v>278000</c:v>
              </c:pt>
            </c:numLit>
          </c:val>
          <c:extLst>
            <c:ext xmlns:c16="http://schemas.microsoft.com/office/drawing/2014/chart" uri="{C3380CC4-5D6E-409C-BE32-E72D297353CC}">
              <c16:uniqueId val="{00000000-4847-4E5B-9C6F-9895513841D3}"/>
            </c:ext>
          </c:extLst>
        </c:ser>
        <c:dLbls>
          <c:showLegendKey val="0"/>
          <c:showVal val="0"/>
          <c:showCatName val="0"/>
          <c:showSerName val="0"/>
          <c:showPercent val="0"/>
          <c:showBubbleSize val="0"/>
        </c:dLbls>
        <c:gapWidth val="219"/>
        <c:overlap val="-27"/>
        <c:axId val="560027512"/>
        <c:axId val="560028952"/>
      </c:barChart>
      <c:catAx>
        <c:axId val="560027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028952"/>
        <c:crosses val="autoZero"/>
        <c:auto val="1"/>
        <c:lblAlgn val="ctr"/>
        <c:lblOffset val="100"/>
        <c:noMultiLvlLbl val="0"/>
      </c:catAx>
      <c:valAx>
        <c:axId val="560028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027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09-4619-A82C-9C01AC8E4E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09-4619-A82C-9C01AC8E4E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09-4619-A82C-9C01AC8E4E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09-4619-A82C-9C01AC8E4E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09-4619-A82C-9C01AC8E4E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309-4619-A82C-9C01AC8E4E4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309-4619-A82C-9C01AC8E4E4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309-4619-A82C-9C01AC8E4E4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309-4619-A82C-9C01AC8E4E4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309-4619-A82C-9C01AC8E4E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10"/>
              <c:pt idx="0">
                <c:v>0</c:v>
              </c:pt>
              <c:pt idx="1">
                <c:v>0</c:v>
              </c:pt>
              <c:pt idx="2">
                <c:v>0</c:v>
              </c:pt>
              <c:pt idx="3">
                <c:v>0</c:v>
              </c:pt>
              <c:pt idx="4">
                <c:v>0</c:v>
              </c:pt>
              <c:pt idx="5">
                <c:v>0</c:v>
              </c:pt>
              <c:pt idx="6">
                <c:v>0</c:v>
              </c:pt>
              <c:pt idx="7">
                <c:v>0</c:v>
              </c:pt>
              <c:pt idx="8">
                <c:v>0</c:v>
              </c:pt>
              <c:pt idx="9">
                <c:v>0</c:v>
              </c:pt>
            </c:numLit>
          </c:cat>
          <c:val>
            <c:numLit>
              <c:formatCode>General</c:formatCode>
              <c:ptCount val="10"/>
              <c:pt idx="0">
                <c:v>650000</c:v>
              </c:pt>
              <c:pt idx="1">
                <c:v>990000</c:v>
              </c:pt>
              <c:pt idx="2">
                <c:v>280000</c:v>
              </c:pt>
              <c:pt idx="3">
                <c:v>240000</c:v>
              </c:pt>
              <c:pt idx="4">
                <c:v>360000</c:v>
              </c:pt>
              <c:pt idx="5">
                <c:v>755000</c:v>
              </c:pt>
              <c:pt idx="6">
                <c:v>1260000</c:v>
              </c:pt>
              <c:pt idx="7">
                <c:v>720000</c:v>
              </c:pt>
              <c:pt idx="8">
                <c:v>490000</c:v>
              </c:pt>
              <c:pt idx="9">
                <c:v>895000</c:v>
              </c:pt>
            </c:numLit>
          </c:val>
          <c:extLst>
            <c:ext xmlns:c16="http://schemas.microsoft.com/office/drawing/2014/chart" uri="{C3380CC4-5D6E-409C-BE32-E72D297353CC}">
              <c16:uniqueId val="{0000001A-1C25-47C0-A7EC-F16399813031}"/>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B309-4619-A82C-9C01AC8E4E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B309-4619-A82C-9C01AC8E4E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B309-4619-A82C-9C01AC8E4E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B309-4619-A82C-9C01AC8E4E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B309-4619-A82C-9C01AC8E4E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B309-4619-A82C-9C01AC8E4E4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B309-4619-A82C-9C01AC8E4E4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B309-4619-A82C-9C01AC8E4E4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B309-4619-A82C-9C01AC8E4E4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B309-4619-A82C-9C01AC8E4E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10"/>
              <c:pt idx="0">
                <c:v>0</c:v>
              </c:pt>
              <c:pt idx="1">
                <c:v>0</c:v>
              </c:pt>
              <c:pt idx="2">
                <c:v>0</c:v>
              </c:pt>
              <c:pt idx="3">
                <c:v>0</c:v>
              </c:pt>
              <c:pt idx="4">
                <c:v>0</c:v>
              </c:pt>
              <c:pt idx="5">
                <c:v>0</c:v>
              </c:pt>
              <c:pt idx="6">
                <c:v>0</c:v>
              </c:pt>
              <c:pt idx="7">
                <c:v>0</c:v>
              </c:pt>
              <c:pt idx="8">
                <c:v>0</c:v>
              </c:pt>
              <c:pt idx="9">
                <c:v>0</c:v>
              </c:pt>
            </c:numLit>
          </c:cat>
          <c:val>
            <c:numLit>
              <c:formatCode>General</c:formatCode>
              <c:ptCount val="10"/>
              <c:pt idx="0">
                <c:v>350000</c:v>
              </c:pt>
              <c:pt idx="1">
                <c:v>477000</c:v>
              </c:pt>
              <c:pt idx="2">
                <c:v>220000</c:v>
              </c:pt>
              <c:pt idx="3">
                <c:v>207000</c:v>
              </c:pt>
              <c:pt idx="4">
                <c:v>264000</c:v>
              </c:pt>
              <c:pt idx="5">
                <c:v>506000</c:v>
              </c:pt>
              <c:pt idx="6">
                <c:v>681000</c:v>
              </c:pt>
              <c:pt idx="7">
                <c:v>321000</c:v>
              </c:pt>
              <c:pt idx="8">
                <c:v>250000</c:v>
              </c:pt>
              <c:pt idx="9">
                <c:v>478000</c:v>
              </c:pt>
            </c:numLit>
          </c:val>
          <c:extLst>
            <c:ext xmlns:c16="http://schemas.microsoft.com/office/drawing/2014/chart" uri="{C3380CC4-5D6E-409C-BE32-E72D297353CC}">
              <c16:uniqueId val="{0000001B-1C25-47C0-A7EC-F16399813031}"/>
            </c:ext>
          </c:extLst>
        </c:ser>
        <c:ser>
          <c:idx val="2"/>
          <c:order val="2"/>
          <c:tx>
            <c:v>Series3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A04A-4294-BA92-C5BF981F5D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A04A-4294-BA92-C5BF981F5D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A04A-4294-BA92-C5BF981F5D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A04A-4294-BA92-C5BF981F5D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A04A-4294-BA92-C5BF981F5D7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A04A-4294-BA92-C5BF981F5D7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A04A-4294-BA92-C5BF981F5D7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A04A-4294-BA92-C5BF981F5D7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A04A-4294-BA92-C5BF981F5D7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A04A-4294-BA92-C5BF981F5D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10"/>
              <c:pt idx="0">
                <c:v>0</c:v>
              </c:pt>
              <c:pt idx="1">
                <c:v>0</c:v>
              </c:pt>
              <c:pt idx="2">
                <c:v>0</c:v>
              </c:pt>
              <c:pt idx="3">
                <c:v>0</c:v>
              </c:pt>
              <c:pt idx="4">
                <c:v>0</c:v>
              </c:pt>
              <c:pt idx="5">
                <c:v>0</c:v>
              </c:pt>
              <c:pt idx="6">
                <c:v>0</c:v>
              </c:pt>
              <c:pt idx="7">
                <c:v>0</c:v>
              </c:pt>
              <c:pt idx="8">
                <c:v>0</c:v>
              </c:pt>
              <c:pt idx="9">
                <c:v>0</c:v>
              </c:pt>
            </c:numLit>
          </c:cat>
          <c:val>
            <c:numLit>
              <c:formatCode>General</c:formatCode>
              <c:ptCount val="10"/>
              <c:pt idx="0">
                <c:v>200000</c:v>
              </c:pt>
              <c:pt idx="1">
                <c:v>342000</c:v>
              </c:pt>
              <c:pt idx="2">
                <c:v>40000</c:v>
              </c:pt>
              <c:pt idx="3">
                <c:v>22000</c:v>
              </c:pt>
              <c:pt idx="4">
                <c:v>64000</c:v>
              </c:pt>
              <c:pt idx="5">
                <c:v>166000</c:v>
              </c:pt>
              <c:pt idx="6">
                <c:v>386000</c:v>
              </c:pt>
              <c:pt idx="7">
                <c:v>266000</c:v>
              </c:pt>
              <c:pt idx="8">
                <c:v>160000</c:v>
              </c:pt>
              <c:pt idx="9">
                <c:v>278000</c:v>
              </c:pt>
            </c:numLit>
          </c:val>
          <c:extLst>
            <c:ext xmlns:c16="http://schemas.microsoft.com/office/drawing/2014/chart" uri="{C3380CC4-5D6E-409C-BE32-E72D297353CC}">
              <c16:uniqueId val="{00000028-B309-4619-A82C-9C01AC8E4E4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798008684034625"/>
          <c:y val="0.1494445806536786"/>
          <c:w val="0.19571044587352904"/>
          <c:h val="0.67097086867988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Penjualn.xlsx]PivotTable!TotalPenjualan</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PivotTable!$L$3</c:f>
              <c:strCache>
                <c:ptCount val="1"/>
                <c:pt idx="0">
                  <c:v>Total</c:v>
                </c:pt>
              </c:strCache>
            </c:strRef>
          </c:tx>
          <c:spPr>
            <a:solidFill>
              <a:schemeClr val="accent1"/>
            </a:solidFill>
            <a:ln>
              <a:noFill/>
            </a:ln>
            <a:effectLst/>
          </c:spPr>
          <c:invertIfNegative val="0"/>
          <c:cat>
            <c:strRef>
              <c:f>PivotTable!$K$4:$K$6</c:f>
              <c:strCache>
                <c:ptCount val="2"/>
                <c:pt idx="0">
                  <c:v>2023</c:v>
                </c:pt>
                <c:pt idx="1">
                  <c:v>2025</c:v>
                </c:pt>
              </c:strCache>
            </c:strRef>
          </c:cat>
          <c:val>
            <c:numRef>
              <c:f>PivotTable!$L$4:$L$6</c:f>
              <c:numCache>
                <c:formatCode>"Rp"#,##0</c:formatCode>
                <c:ptCount val="2"/>
                <c:pt idx="0">
                  <c:v>15792000</c:v>
                </c:pt>
                <c:pt idx="1">
                  <c:v>20144500</c:v>
                </c:pt>
              </c:numCache>
            </c:numRef>
          </c:val>
          <c:extLst>
            <c:ext xmlns:c16="http://schemas.microsoft.com/office/drawing/2014/chart" uri="{C3380CC4-5D6E-409C-BE32-E72D297353CC}">
              <c16:uniqueId val="{00000000-382A-4C49-B9F5-3890EE5875D6}"/>
            </c:ext>
          </c:extLst>
        </c:ser>
        <c:dLbls>
          <c:showLegendKey val="0"/>
          <c:showVal val="0"/>
          <c:showCatName val="0"/>
          <c:showSerName val="0"/>
          <c:showPercent val="0"/>
          <c:showBubbleSize val="0"/>
        </c:dLbls>
        <c:gapWidth val="219"/>
        <c:overlap val="-27"/>
        <c:axId val="597324528"/>
        <c:axId val="597328128"/>
      </c:barChart>
      <c:catAx>
        <c:axId val="59732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28128"/>
        <c:crosses val="autoZero"/>
        <c:auto val="1"/>
        <c:lblAlgn val="ctr"/>
        <c:lblOffset val="100"/>
        <c:noMultiLvlLbl val="0"/>
      </c:catAx>
      <c:valAx>
        <c:axId val="597328128"/>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10</xdr:col>
      <xdr:colOff>356507</xdr:colOff>
      <xdr:row>1</xdr:row>
      <xdr:rowOff>56990</xdr:rowOff>
    </xdr:from>
    <xdr:to>
      <xdr:col>12</xdr:col>
      <xdr:colOff>889952</xdr:colOff>
      <xdr:row>4</xdr:row>
      <xdr:rowOff>19943</xdr:rowOff>
    </xdr:to>
    <mc:AlternateContent xmlns:mc="http://schemas.openxmlformats.org/markup-compatibility/2006">
      <mc:Choice xmlns:a14="http://schemas.microsoft.com/office/drawing/2010/main" Requires="a14">
        <xdr:graphicFrame macro="">
          <xdr:nvGraphicFramePr>
            <xdr:cNvPr id="23" name="Tahun 1">
              <a:extLst>
                <a:ext uri="{FF2B5EF4-FFF2-40B4-BE49-F238E27FC236}">
                  <a16:creationId xmlns:a16="http://schemas.microsoft.com/office/drawing/2014/main" id="{6E75CB5E-AF43-4C2D-9B2E-63D3AD3CC0C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ahun 1"/>
            </a:graphicData>
          </a:graphic>
        </xdr:graphicFrame>
      </mc:Choice>
      <mc:Fallback>
        <xdr:sp macro="" textlink="">
          <xdr:nvSpPr>
            <xdr:cNvPr id="0" name=""/>
            <xdr:cNvSpPr>
              <a:spLocks noTextEdit="1"/>
            </xdr:cNvSpPr>
          </xdr:nvSpPr>
          <xdr:spPr>
            <a:xfrm>
              <a:off x="7211384" y="244367"/>
              <a:ext cx="2485289" cy="5250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xdr:row>
      <xdr:rowOff>171451</xdr:rowOff>
    </xdr:from>
    <xdr:to>
      <xdr:col>5</xdr:col>
      <xdr:colOff>161926</xdr:colOff>
      <xdr:row>9</xdr:row>
      <xdr:rowOff>137373</xdr:rowOff>
    </xdr:to>
    <xdr:sp macro="" textlink="">
      <xdr:nvSpPr>
        <xdr:cNvPr id="2" name="Rectangle: Rounded Corners 1">
          <a:extLst>
            <a:ext uri="{FF2B5EF4-FFF2-40B4-BE49-F238E27FC236}">
              <a16:creationId xmlns:a16="http://schemas.microsoft.com/office/drawing/2014/main" id="{298C67D0-4313-9B1D-8DA8-8FA5FD49B479}"/>
            </a:ext>
          </a:extLst>
        </xdr:cNvPr>
        <xdr:cNvSpPr/>
      </xdr:nvSpPr>
      <xdr:spPr>
        <a:xfrm>
          <a:off x="608814" y="731167"/>
          <a:ext cx="2597184" cy="1085355"/>
        </a:xfrm>
        <a:prstGeom prst="roundRect">
          <a:avLst>
            <a:gd name="adj" fmla="val 619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304800</xdr:colOff>
      <xdr:row>4</xdr:row>
      <xdr:rowOff>1</xdr:rowOff>
    </xdr:from>
    <xdr:to>
      <xdr:col>9</xdr:col>
      <xdr:colOff>466726</xdr:colOff>
      <xdr:row>9</xdr:row>
      <xdr:rowOff>157703</xdr:rowOff>
    </xdr:to>
    <xdr:sp macro="" textlink="">
      <xdr:nvSpPr>
        <xdr:cNvPr id="4" name="Rectangle: Rounded Corners 3">
          <a:extLst>
            <a:ext uri="{FF2B5EF4-FFF2-40B4-BE49-F238E27FC236}">
              <a16:creationId xmlns:a16="http://schemas.microsoft.com/office/drawing/2014/main" id="{E495AC8C-AFCC-F2C7-350F-1DDD34D9A1E9}"/>
            </a:ext>
          </a:extLst>
        </xdr:cNvPr>
        <xdr:cNvSpPr/>
      </xdr:nvSpPr>
      <xdr:spPr>
        <a:xfrm>
          <a:off x="4020892" y="751269"/>
          <a:ext cx="2321820" cy="1096786"/>
        </a:xfrm>
        <a:prstGeom prst="roundRect">
          <a:avLst>
            <a:gd name="adj" fmla="val 6191"/>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590282</xdr:colOff>
      <xdr:row>4</xdr:row>
      <xdr:rowOff>19051</xdr:rowOff>
    </xdr:from>
    <xdr:to>
      <xdr:col>12</xdr:col>
      <xdr:colOff>898838</xdr:colOff>
      <xdr:row>9</xdr:row>
      <xdr:rowOff>176753</xdr:rowOff>
    </xdr:to>
    <xdr:sp macro="" textlink="">
      <xdr:nvSpPr>
        <xdr:cNvPr id="5" name="Rectangle: Rounded Corners 4">
          <a:extLst>
            <a:ext uri="{FF2B5EF4-FFF2-40B4-BE49-F238E27FC236}">
              <a16:creationId xmlns:a16="http://schemas.microsoft.com/office/drawing/2014/main" id="{C6E389EB-A607-9836-A443-B38F63CEC69D}"/>
            </a:ext>
          </a:extLst>
        </xdr:cNvPr>
        <xdr:cNvSpPr/>
      </xdr:nvSpPr>
      <xdr:spPr>
        <a:xfrm>
          <a:off x="6466268" y="770319"/>
          <a:ext cx="3192887" cy="1096786"/>
        </a:xfrm>
        <a:prstGeom prst="roundRect">
          <a:avLst>
            <a:gd name="adj" fmla="val 6191"/>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63328</xdr:colOff>
      <xdr:row>4</xdr:row>
      <xdr:rowOff>38101</xdr:rowOff>
    </xdr:from>
    <xdr:to>
      <xdr:col>17</xdr:col>
      <xdr:colOff>509789</xdr:colOff>
      <xdr:row>10</xdr:row>
      <xdr:rowOff>9230</xdr:rowOff>
    </xdr:to>
    <xdr:sp macro="" textlink="">
      <xdr:nvSpPr>
        <xdr:cNvPr id="6" name="Rectangle: Rounded Corners 5">
          <a:extLst>
            <a:ext uri="{FF2B5EF4-FFF2-40B4-BE49-F238E27FC236}">
              <a16:creationId xmlns:a16="http://schemas.microsoft.com/office/drawing/2014/main" id="{C6C45FEC-6F72-A398-35D4-9A728CA8E319}"/>
            </a:ext>
          </a:extLst>
        </xdr:cNvPr>
        <xdr:cNvSpPr/>
      </xdr:nvSpPr>
      <xdr:spPr>
        <a:xfrm>
          <a:off x="9762729" y="789369"/>
          <a:ext cx="2861250" cy="1098030"/>
        </a:xfrm>
        <a:prstGeom prst="roundRect">
          <a:avLst>
            <a:gd name="adj" fmla="val 6191"/>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1</xdr:col>
      <xdr:colOff>255310</xdr:colOff>
      <xdr:row>4</xdr:row>
      <xdr:rowOff>117834</xdr:rowOff>
    </xdr:from>
    <xdr:ext cx="1472070" cy="316753"/>
    <xdr:sp macro="" textlink="">
      <xdr:nvSpPr>
        <xdr:cNvPr id="7" name="TextBox 6">
          <a:extLst>
            <a:ext uri="{FF2B5EF4-FFF2-40B4-BE49-F238E27FC236}">
              <a16:creationId xmlns:a16="http://schemas.microsoft.com/office/drawing/2014/main" id="{4CE99B7B-B67B-F531-F2A9-298CB25E0C65}"/>
            </a:ext>
          </a:extLst>
        </xdr:cNvPr>
        <xdr:cNvSpPr txBox="1"/>
      </xdr:nvSpPr>
      <xdr:spPr>
        <a:xfrm>
          <a:off x="864124" y="864123"/>
          <a:ext cx="1472070" cy="316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latin typeface="HammersmithOne" panose="02010703030501060504" pitchFamily="2" charset="0"/>
            </a:rPr>
            <a:t>Total Penjualan</a:t>
          </a:r>
        </a:p>
      </xdr:txBody>
    </xdr:sp>
    <xdr:clientData/>
  </xdr:oneCellAnchor>
  <xdr:oneCellAnchor>
    <xdr:from>
      <xdr:col>1</xdr:col>
      <xdr:colOff>260416</xdr:colOff>
      <xdr:row>6</xdr:row>
      <xdr:rowOff>113121</xdr:rowOff>
    </xdr:from>
    <xdr:ext cx="1628010" cy="426207"/>
    <xdr:sp macro="" textlink="$A$1">
      <xdr:nvSpPr>
        <xdr:cNvPr id="8" name="TextBox 7">
          <a:extLst>
            <a:ext uri="{FF2B5EF4-FFF2-40B4-BE49-F238E27FC236}">
              <a16:creationId xmlns:a16="http://schemas.microsoft.com/office/drawing/2014/main" id="{F60E0002-6EF4-975D-3B8E-250503A05A18}"/>
            </a:ext>
          </a:extLst>
        </xdr:cNvPr>
        <xdr:cNvSpPr txBox="1"/>
      </xdr:nvSpPr>
      <xdr:spPr>
        <a:xfrm>
          <a:off x="1566702" y="1256121"/>
          <a:ext cx="1628010" cy="426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F0AD2CA-73FF-48B8-BA7D-69EB04623B84}" type="TxLink">
            <a:rPr lang="en-US" sz="2000" b="0" i="0" u="none" strike="noStrike">
              <a:solidFill>
                <a:schemeClr val="bg1"/>
              </a:solidFill>
              <a:latin typeface="Calibri"/>
              <a:cs typeface="Calibri"/>
            </a:rPr>
            <a:pPr/>
            <a:t>Rp35.936.500</a:t>
          </a:fld>
          <a:endParaRPr lang="en-ID" sz="3200" b="0">
            <a:solidFill>
              <a:schemeClr val="bg1"/>
            </a:solidFill>
            <a:latin typeface="HammersmithOne" panose="02010703030501060504" pitchFamily="2" charset="0"/>
          </a:endParaRPr>
        </a:p>
      </xdr:txBody>
    </xdr:sp>
    <xdr:clientData/>
  </xdr:oneCellAnchor>
  <xdr:oneCellAnchor>
    <xdr:from>
      <xdr:col>5</xdr:col>
      <xdr:colOff>466628</xdr:colOff>
      <xdr:row>4</xdr:row>
      <xdr:rowOff>122940</xdr:rowOff>
    </xdr:from>
    <xdr:ext cx="1098314" cy="316753"/>
    <xdr:sp macro="" textlink="">
      <xdr:nvSpPr>
        <xdr:cNvPr id="15" name="TextBox 14">
          <a:extLst>
            <a:ext uri="{FF2B5EF4-FFF2-40B4-BE49-F238E27FC236}">
              <a16:creationId xmlns:a16="http://schemas.microsoft.com/office/drawing/2014/main" id="{31496A50-E25D-46D4-B609-FDA52B9B97EE}"/>
            </a:ext>
          </a:extLst>
        </xdr:cNvPr>
        <xdr:cNvSpPr txBox="1"/>
      </xdr:nvSpPr>
      <xdr:spPr>
        <a:xfrm>
          <a:off x="3485114" y="874208"/>
          <a:ext cx="1098314" cy="316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latin typeface="HammersmithOne" panose="02010703030501060504" pitchFamily="2" charset="0"/>
            </a:rPr>
            <a:t>Total Profit</a:t>
          </a:r>
        </a:p>
      </xdr:txBody>
    </xdr:sp>
    <xdr:clientData/>
  </xdr:oneCellAnchor>
  <xdr:oneCellAnchor>
    <xdr:from>
      <xdr:col>5</xdr:col>
      <xdr:colOff>471734</xdr:colOff>
      <xdr:row>6</xdr:row>
      <xdr:rowOff>118227</xdr:rowOff>
    </xdr:from>
    <xdr:ext cx="1628010" cy="426207"/>
    <xdr:sp macro="" textlink="$A$2">
      <xdr:nvSpPr>
        <xdr:cNvPr id="16" name="TextBox 15">
          <a:extLst>
            <a:ext uri="{FF2B5EF4-FFF2-40B4-BE49-F238E27FC236}">
              <a16:creationId xmlns:a16="http://schemas.microsoft.com/office/drawing/2014/main" id="{3330FFBC-83AF-41CE-A706-79C8960C62B0}"/>
            </a:ext>
          </a:extLst>
        </xdr:cNvPr>
        <xdr:cNvSpPr txBox="1"/>
      </xdr:nvSpPr>
      <xdr:spPr>
        <a:xfrm>
          <a:off x="4227305" y="1261227"/>
          <a:ext cx="1628010" cy="426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742D6A1-39C0-4FDB-80C1-84C634A911D9}" type="TxLink">
            <a:rPr lang="en-US" sz="2000" b="0" i="0" u="none" strike="noStrike">
              <a:solidFill>
                <a:schemeClr val="bg1"/>
              </a:solidFill>
              <a:latin typeface="Calibri"/>
              <a:cs typeface="Calibri"/>
            </a:rPr>
            <a:pPr/>
            <a:t>Rp26.745.100</a:t>
          </a:fld>
          <a:endParaRPr lang="en-ID" sz="3200" b="0">
            <a:solidFill>
              <a:schemeClr val="bg1"/>
            </a:solidFill>
            <a:latin typeface="HammersmithOne" panose="02010703030501060504" pitchFamily="2" charset="0"/>
          </a:endParaRPr>
        </a:p>
      </xdr:txBody>
    </xdr:sp>
    <xdr:clientData/>
  </xdr:oneCellAnchor>
  <xdr:oneCellAnchor>
    <xdr:from>
      <xdr:col>9</xdr:col>
      <xdr:colOff>737970</xdr:colOff>
      <xdr:row>4</xdr:row>
      <xdr:rowOff>137865</xdr:rowOff>
    </xdr:from>
    <xdr:ext cx="1457066" cy="316753"/>
    <xdr:sp macro="" textlink="">
      <xdr:nvSpPr>
        <xdr:cNvPr id="17" name="TextBox 16">
          <a:extLst>
            <a:ext uri="{FF2B5EF4-FFF2-40B4-BE49-F238E27FC236}">
              <a16:creationId xmlns:a16="http://schemas.microsoft.com/office/drawing/2014/main" id="{8DF6584A-5BAD-2810-4E2C-ADC122DEC210}"/>
            </a:ext>
          </a:extLst>
        </xdr:cNvPr>
        <xdr:cNvSpPr txBox="1"/>
      </xdr:nvSpPr>
      <xdr:spPr>
        <a:xfrm>
          <a:off x="6613956" y="889133"/>
          <a:ext cx="1457066" cy="316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latin typeface="HammersmithOne" panose="02010703030501060504" pitchFamily="2" charset="0"/>
            </a:rPr>
            <a:t>Total Transaksi</a:t>
          </a:r>
        </a:p>
      </xdr:txBody>
    </xdr:sp>
    <xdr:clientData/>
  </xdr:oneCellAnchor>
  <xdr:oneCellAnchor>
    <xdr:from>
      <xdr:col>9</xdr:col>
      <xdr:colOff>743076</xdr:colOff>
      <xdr:row>6</xdr:row>
      <xdr:rowOff>133152</xdr:rowOff>
    </xdr:from>
    <xdr:ext cx="574581" cy="426207"/>
    <xdr:sp macro="" textlink="$B$1">
      <xdr:nvSpPr>
        <xdr:cNvPr id="18" name="TextBox 17">
          <a:extLst>
            <a:ext uri="{FF2B5EF4-FFF2-40B4-BE49-F238E27FC236}">
              <a16:creationId xmlns:a16="http://schemas.microsoft.com/office/drawing/2014/main" id="{28E3A40A-421A-2457-2A97-EA3955A4F0E1}"/>
            </a:ext>
          </a:extLst>
        </xdr:cNvPr>
        <xdr:cNvSpPr txBox="1"/>
      </xdr:nvSpPr>
      <xdr:spPr>
        <a:xfrm>
          <a:off x="6653166" y="1303694"/>
          <a:ext cx="574581" cy="426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6E29DF-119D-410B-BDF7-A5415585B50D}" type="TxLink">
            <a:rPr lang="en-US" sz="2000" b="0" i="0" u="none" strike="noStrike">
              <a:solidFill>
                <a:schemeClr val="bg1"/>
              </a:solidFill>
              <a:latin typeface="Calibri"/>
              <a:cs typeface="Calibri"/>
            </a:rPr>
            <a:t>206</a:t>
          </a:fld>
          <a:endParaRPr lang="en-ID" sz="3200">
            <a:solidFill>
              <a:schemeClr val="bg1"/>
            </a:solidFill>
            <a:latin typeface="HammersmithOne" panose="02010703030501060504" pitchFamily="2" charset="0"/>
          </a:endParaRPr>
        </a:p>
      </xdr:txBody>
    </xdr:sp>
    <xdr:clientData/>
  </xdr:oneCellAnchor>
  <xdr:oneCellAnchor>
    <xdr:from>
      <xdr:col>13</xdr:col>
      <xdr:colOff>196090</xdr:colOff>
      <xdr:row>4</xdr:row>
      <xdr:rowOff>152790</xdr:rowOff>
    </xdr:from>
    <xdr:ext cx="1664558" cy="316753"/>
    <xdr:sp macro="" textlink="">
      <xdr:nvSpPr>
        <xdr:cNvPr id="19" name="TextBox 18">
          <a:extLst>
            <a:ext uri="{FF2B5EF4-FFF2-40B4-BE49-F238E27FC236}">
              <a16:creationId xmlns:a16="http://schemas.microsoft.com/office/drawing/2014/main" id="{FB7EE696-796F-BA3C-EC33-355A0C05B9BF}"/>
            </a:ext>
          </a:extLst>
        </xdr:cNvPr>
        <xdr:cNvSpPr txBox="1"/>
      </xdr:nvSpPr>
      <xdr:spPr>
        <a:xfrm>
          <a:off x="9895491" y="904058"/>
          <a:ext cx="1664558" cy="316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latin typeface="HammersmithOne" panose="02010703030501060504" pitchFamily="2" charset="0"/>
            </a:rPr>
            <a:t>Rata-Rata</a:t>
          </a:r>
          <a:r>
            <a:rPr lang="en-ID" sz="1400" baseline="0">
              <a:solidFill>
                <a:schemeClr val="bg1"/>
              </a:solidFill>
              <a:latin typeface="HammersmithOne" panose="02010703030501060504" pitchFamily="2" charset="0"/>
            </a:rPr>
            <a:t> Margin</a:t>
          </a:r>
          <a:endParaRPr lang="en-ID" sz="1400">
            <a:solidFill>
              <a:schemeClr val="bg1"/>
            </a:solidFill>
            <a:latin typeface="HammersmithOne" panose="02010703030501060504" pitchFamily="2" charset="0"/>
          </a:endParaRPr>
        </a:p>
      </xdr:txBody>
    </xdr:sp>
    <xdr:clientData/>
  </xdr:oneCellAnchor>
  <xdr:oneCellAnchor>
    <xdr:from>
      <xdr:col>13</xdr:col>
      <xdr:colOff>201196</xdr:colOff>
      <xdr:row>6</xdr:row>
      <xdr:rowOff>148077</xdr:rowOff>
    </xdr:from>
    <xdr:ext cx="1173335" cy="426207"/>
    <xdr:sp macro="" textlink="$B$2">
      <xdr:nvSpPr>
        <xdr:cNvPr id="20" name="TextBox 19">
          <a:extLst>
            <a:ext uri="{FF2B5EF4-FFF2-40B4-BE49-F238E27FC236}">
              <a16:creationId xmlns:a16="http://schemas.microsoft.com/office/drawing/2014/main" id="{0E16C354-4CB2-260C-27BA-C53D3CA58368}"/>
            </a:ext>
          </a:extLst>
        </xdr:cNvPr>
        <xdr:cNvSpPr txBox="1"/>
      </xdr:nvSpPr>
      <xdr:spPr>
        <a:xfrm>
          <a:off x="9944238" y="1318619"/>
          <a:ext cx="1173335" cy="426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52CDBF4-785A-46F5-B8F6-0B94816A00F2}" type="TxLink">
            <a:rPr lang="en-US" sz="2000" b="0" i="0" u="none" strike="noStrike">
              <a:solidFill>
                <a:schemeClr val="bg1"/>
              </a:solidFill>
              <a:latin typeface="Calibri"/>
              <a:cs typeface="Calibri"/>
            </a:rPr>
            <a:t>Rp29.746</a:t>
          </a:fld>
          <a:endParaRPr lang="en-ID" sz="3200">
            <a:solidFill>
              <a:schemeClr val="bg1"/>
            </a:solidFill>
            <a:latin typeface="HammersmithOne" panose="02010703030501060504" pitchFamily="2" charset="0"/>
          </a:endParaRPr>
        </a:p>
      </xdr:txBody>
    </xdr:sp>
    <xdr:clientData/>
  </xdr:oneCellAnchor>
  <xdr:twoCellAnchor>
    <xdr:from>
      <xdr:col>0</xdr:col>
      <xdr:colOff>1306526</xdr:colOff>
      <xdr:row>10</xdr:row>
      <xdr:rowOff>19639</xdr:rowOff>
    </xdr:from>
    <xdr:to>
      <xdr:col>9</xdr:col>
      <xdr:colOff>454269</xdr:colOff>
      <xdr:row>25</xdr:row>
      <xdr:rowOff>18328</xdr:rowOff>
    </xdr:to>
    <xdr:graphicFrame macro="">
      <xdr:nvGraphicFramePr>
        <xdr:cNvPr id="21" name="Chart 20">
          <a:extLst>
            <a:ext uri="{FF2B5EF4-FFF2-40B4-BE49-F238E27FC236}">
              <a16:creationId xmlns:a16="http://schemas.microsoft.com/office/drawing/2014/main" id="{4DEA1F80-3B8C-439C-B399-751B753BB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576872</xdr:colOff>
      <xdr:row>10</xdr:row>
      <xdr:rowOff>43961</xdr:rowOff>
    </xdr:from>
    <xdr:to>
      <xdr:col>17</xdr:col>
      <xdr:colOff>509789</xdr:colOff>
      <xdr:row>25</xdr:row>
      <xdr:rowOff>52192</xdr:rowOff>
    </xdr:to>
    <xdr:graphicFrame macro="">
      <xdr:nvGraphicFramePr>
        <xdr:cNvPr id="22" name="Chart 21">
          <a:extLst>
            <a:ext uri="{FF2B5EF4-FFF2-40B4-BE49-F238E27FC236}">
              <a16:creationId xmlns:a16="http://schemas.microsoft.com/office/drawing/2014/main" id="{52E6A202-DA06-4723-8E14-558F2770E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74547</xdr:colOff>
      <xdr:row>25</xdr:row>
      <xdr:rowOff>169628</xdr:rowOff>
    </xdr:from>
    <xdr:to>
      <xdr:col>17</xdr:col>
      <xdr:colOff>541224</xdr:colOff>
      <xdr:row>36</xdr:row>
      <xdr:rowOff>28575</xdr:rowOff>
    </xdr:to>
    <xdr:graphicFrame macro="">
      <xdr:nvGraphicFramePr>
        <xdr:cNvPr id="24" name="Chart 23">
          <a:extLst>
            <a:ext uri="{FF2B5EF4-FFF2-40B4-BE49-F238E27FC236}">
              <a16:creationId xmlns:a16="http://schemas.microsoft.com/office/drawing/2014/main" id="{2CC1750A-4C57-45C7-AABD-47A2DE4A3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77932</xdr:colOff>
      <xdr:row>1</xdr:row>
      <xdr:rowOff>54428</xdr:rowOff>
    </xdr:from>
    <xdr:to>
      <xdr:col>17</xdr:col>
      <xdr:colOff>482260</xdr:colOff>
      <xdr:row>4</xdr:row>
      <xdr:rowOff>3734</xdr:rowOff>
    </xdr:to>
    <mc:AlternateContent xmlns:mc="http://schemas.openxmlformats.org/markup-compatibility/2006" xmlns:a14="http://schemas.microsoft.com/office/drawing/2010/main">
      <mc:Choice Requires="a14">
        <xdr:graphicFrame macro="">
          <xdr:nvGraphicFramePr>
            <xdr:cNvPr id="63" name="Metode_Pembayaran 1">
              <a:extLst>
                <a:ext uri="{FF2B5EF4-FFF2-40B4-BE49-F238E27FC236}">
                  <a16:creationId xmlns:a16="http://schemas.microsoft.com/office/drawing/2014/main" id="{7E6C3074-14BE-4E01-ADA1-F805A5680F55}"/>
                </a:ext>
              </a:extLst>
            </xdr:cNvPr>
            <xdr:cNvGraphicFramePr/>
          </xdr:nvGraphicFramePr>
          <xdr:xfrm>
            <a:off x="0" y="0"/>
            <a:ext cx="0" cy="0"/>
          </xdr:xfrm>
          <a:graphic>
            <a:graphicData uri="http://schemas.microsoft.com/office/drawing/2010/slicer">
              <sle:slicer xmlns:sle="http://schemas.microsoft.com/office/drawing/2010/slicer" name="Metode_Pembayaran 1"/>
            </a:graphicData>
          </a:graphic>
        </xdr:graphicFrame>
      </mc:Choice>
      <mc:Fallback xmlns="">
        <xdr:sp macro="" textlink="">
          <xdr:nvSpPr>
            <xdr:cNvPr id="0" name=""/>
            <xdr:cNvSpPr>
              <a:spLocks noTextEdit="1"/>
            </xdr:cNvSpPr>
          </xdr:nvSpPr>
          <xdr:spPr>
            <a:xfrm>
              <a:off x="9704873" y="250147"/>
              <a:ext cx="2990264" cy="5364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1287904</xdr:colOff>
      <xdr:row>25</xdr:row>
      <xdr:rowOff>164121</xdr:rowOff>
    </xdr:from>
    <xdr:to>
      <xdr:col>8</xdr:col>
      <xdr:colOff>262937</xdr:colOff>
      <xdr:row>36</xdr:row>
      <xdr:rowOff>100896</xdr:rowOff>
    </xdr:to>
    <xdr:graphicFrame macro="">
      <xdr:nvGraphicFramePr>
        <xdr:cNvPr id="9" name="Chart 8">
          <a:extLst>
            <a:ext uri="{FF2B5EF4-FFF2-40B4-BE49-F238E27FC236}">
              <a16:creationId xmlns:a16="http://schemas.microsoft.com/office/drawing/2014/main" id="{D88F19E7-50C6-409F-8D9E-5545A6EDD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1155493</xdr:colOff>
      <xdr:row>0</xdr:row>
      <xdr:rowOff>140534</xdr:rowOff>
    </xdr:from>
    <xdr:to>
      <xdr:col>18</xdr:col>
      <xdr:colOff>15615</xdr:colOff>
      <xdr:row>38</xdr:row>
      <xdr:rowOff>78074</xdr:rowOff>
    </xdr:to>
    <xdr:sp macro="" textlink="">
      <xdr:nvSpPr>
        <xdr:cNvPr id="10" name="Rectangle 9">
          <a:extLst>
            <a:ext uri="{FF2B5EF4-FFF2-40B4-BE49-F238E27FC236}">
              <a16:creationId xmlns:a16="http://schemas.microsoft.com/office/drawing/2014/main" id="{3DCBECDD-12BD-3A33-4830-A1376A13247C}"/>
            </a:ext>
          </a:extLst>
        </xdr:cNvPr>
        <xdr:cNvSpPr/>
      </xdr:nvSpPr>
      <xdr:spPr>
        <a:xfrm>
          <a:off x="1155493" y="140534"/>
          <a:ext cx="11648606" cy="780737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0</xdr:row>
      <xdr:rowOff>149392</xdr:rowOff>
    </xdr:from>
    <xdr:to>
      <xdr:col>29</xdr:col>
      <xdr:colOff>342244</xdr:colOff>
      <xdr:row>15</xdr:row>
      <xdr:rowOff>0</xdr:rowOff>
    </xdr:to>
    <xdr:graphicFrame macro="">
      <xdr:nvGraphicFramePr>
        <xdr:cNvPr id="2" name="Chart 1">
          <a:extLst>
            <a:ext uri="{FF2B5EF4-FFF2-40B4-BE49-F238E27FC236}">
              <a16:creationId xmlns:a16="http://schemas.microsoft.com/office/drawing/2014/main" id="{2E9367AD-BFE1-4B8A-83D4-02C4803D6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127022</xdr:colOff>
      <xdr:row>16</xdr:row>
      <xdr:rowOff>117833</xdr:rowOff>
    </xdr:from>
    <xdr:to>
      <xdr:col>26</xdr:col>
      <xdr:colOff>471001</xdr:colOff>
      <xdr:row>33</xdr:row>
      <xdr:rowOff>111078</xdr:rowOff>
    </xdr:to>
    <xdr:graphicFrame macro="">
      <xdr:nvGraphicFramePr>
        <xdr:cNvPr id="3" name="Chart 2">
          <a:extLst>
            <a:ext uri="{FF2B5EF4-FFF2-40B4-BE49-F238E27FC236}">
              <a16:creationId xmlns:a16="http://schemas.microsoft.com/office/drawing/2014/main" id="{F9EE2915-460A-40B4-9E1D-594F80F50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305577</xdr:colOff>
      <xdr:row>16</xdr:row>
      <xdr:rowOff>172786</xdr:rowOff>
    </xdr:from>
    <xdr:to>
      <xdr:col>29</xdr:col>
      <xdr:colOff>310947</xdr:colOff>
      <xdr:row>29</xdr:row>
      <xdr:rowOff>158344</xdr:rowOff>
    </xdr:to>
    <mc:AlternateContent xmlns:mc="http://schemas.openxmlformats.org/markup-compatibility/2006" xmlns:a14="http://schemas.microsoft.com/office/drawing/2010/main">
      <mc:Choice Requires="a14">
        <xdr:graphicFrame macro="">
          <xdr:nvGraphicFramePr>
            <xdr:cNvPr id="4" name="Kota">
              <a:extLst>
                <a:ext uri="{FF2B5EF4-FFF2-40B4-BE49-F238E27FC236}">
                  <a16:creationId xmlns:a16="http://schemas.microsoft.com/office/drawing/2014/main" id="{33FD5477-664C-4D5C-8936-38E4CB2EFEC7}"/>
                </a:ext>
              </a:extLst>
            </xdr:cNvPr>
            <xdr:cNvGraphicFramePr/>
          </xdr:nvGraphicFramePr>
          <xdr:xfrm>
            <a:off x="0" y="0"/>
            <a:ext cx="0" cy="0"/>
          </xdr:xfrm>
          <a:graphic>
            <a:graphicData uri="http://schemas.microsoft.com/office/drawing/2010/slicer">
              <sle:slicer xmlns:sle="http://schemas.microsoft.com/office/drawing/2010/slicer" name="Kota"/>
            </a:graphicData>
          </a:graphic>
        </xdr:graphicFrame>
      </mc:Choice>
      <mc:Fallback xmlns="">
        <xdr:sp macro="" textlink="">
          <xdr:nvSpPr>
            <xdr:cNvPr id="0" name=""/>
            <xdr:cNvSpPr>
              <a:spLocks noTextEdit="1"/>
            </xdr:cNvSpPr>
          </xdr:nvSpPr>
          <xdr:spPr>
            <a:xfrm>
              <a:off x="18979007" y="3185344"/>
              <a:ext cx="1832841" cy="243326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185379</xdr:colOff>
      <xdr:row>16</xdr:row>
      <xdr:rowOff>141039</xdr:rowOff>
    </xdr:from>
    <xdr:to>
      <xdr:col>20</xdr:col>
      <xdr:colOff>188363</xdr:colOff>
      <xdr:row>26</xdr:row>
      <xdr:rowOff>497</xdr:rowOff>
    </xdr:to>
    <mc:AlternateContent xmlns:mc="http://schemas.openxmlformats.org/markup-compatibility/2006" xmlns:a14="http://schemas.microsoft.com/office/drawing/2010/main">
      <mc:Choice Requires="a14">
        <xdr:graphicFrame macro="">
          <xdr:nvGraphicFramePr>
            <xdr:cNvPr id="5" name="Kategori_Produk">
              <a:extLst>
                <a:ext uri="{FF2B5EF4-FFF2-40B4-BE49-F238E27FC236}">
                  <a16:creationId xmlns:a16="http://schemas.microsoft.com/office/drawing/2014/main" id="{EE6C90A7-1DB1-4024-A0FB-A1A38E1872AE}"/>
                </a:ext>
              </a:extLst>
            </xdr:cNvPr>
            <xdr:cNvGraphicFramePr/>
          </xdr:nvGraphicFramePr>
          <xdr:xfrm>
            <a:off x="0" y="0"/>
            <a:ext cx="0" cy="0"/>
          </xdr:xfrm>
          <a:graphic>
            <a:graphicData uri="http://schemas.microsoft.com/office/drawing/2010/slicer">
              <sle:slicer xmlns:sle="http://schemas.microsoft.com/office/drawing/2010/slicer" name="Kategori_Produk"/>
            </a:graphicData>
          </a:graphic>
        </xdr:graphicFrame>
      </mc:Choice>
      <mc:Fallback xmlns="">
        <xdr:sp macro="" textlink="">
          <xdr:nvSpPr>
            <xdr:cNvPr id="0" name=""/>
            <xdr:cNvSpPr>
              <a:spLocks noTextEdit="1"/>
            </xdr:cNvSpPr>
          </xdr:nvSpPr>
          <xdr:spPr>
            <a:xfrm>
              <a:off x="13376396" y="3153597"/>
              <a:ext cx="1830454" cy="17423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387645</xdr:colOff>
      <xdr:row>3</xdr:row>
      <xdr:rowOff>0</xdr:rowOff>
    </xdr:from>
    <xdr:to>
      <xdr:col>9</xdr:col>
      <xdr:colOff>155058</xdr:colOff>
      <xdr:row>11</xdr:row>
      <xdr:rowOff>96669</xdr:rowOff>
    </xdr:to>
    <xdr:graphicFrame macro="">
      <xdr:nvGraphicFramePr>
        <xdr:cNvPr id="7" name="Chart 6">
          <a:extLst>
            <a:ext uri="{FF2B5EF4-FFF2-40B4-BE49-F238E27FC236}">
              <a16:creationId xmlns:a16="http://schemas.microsoft.com/office/drawing/2014/main" id="{0D24D960-E2BD-4351-8F98-F7B13CE40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990157</xdr:colOff>
      <xdr:row>52</xdr:row>
      <xdr:rowOff>166799</xdr:rowOff>
    </xdr:from>
    <xdr:to>
      <xdr:col>8</xdr:col>
      <xdr:colOff>107415</xdr:colOff>
      <xdr:row>55</xdr:row>
      <xdr:rowOff>22152</xdr:rowOff>
    </xdr:to>
    <mc:AlternateContent xmlns:mc="http://schemas.openxmlformats.org/markup-compatibility/2006" xmlns:a14="http://schemas.microsoft.com/office/drawing/2010/main">
      <mc:Choice Requires="a14">
        <xdr:graphicFrame macro="">
          <xdr:nvGraphicFramePr>
            <xdr:cNvPr id="9" name="Metode_Pembayaran">
              <a:extLst>
                <a:ext uri="{FF2B5EF4-FFF2-40B4-BE49-F238E27FC236}">
                  <a16:creationId xmlns:a16="http://schemas.microsoft.com/office/drawing/2014/main" id="{BD268804-9086-834C-FC5C-D12D15BE792C}"/>
                </a:ext>
              </a:extLst>
            </xdr:cNvPr>
            <xdr:cNvGraphicFramePr/>
          </xdr:nvGraphicFramePr>
          <xdr:xfrm>
            <a:off x="0" y="0"/>
            <a:ext cx="0" cy="0"/>
          </xdr:xfrm>
          <a:graphic>
            <a:graphicData uri="http://schemas.microsoft.com/office/drawing/2010/slicer">
              <sle:slicer xmlns:sle="http://schemas.microsoft.com/office/drawing/2010/slicer" name="Metode_Pembayaran"/>
            </a:graphicData>
          </a:graphic>
        </xdr:graphicFrame>
      </mc:Choice>
      <mc:Fallback xmlns="">
        <xdr:sp macro="" textlink="">
          <xdr:nvSpPr>
            <xdr:cNvPr id="0" name=""/>
            <xdr:cNvSpPr>
              <a:spLocks noTextEdit="1"/>
            </xdr:cNvSpPr>
          </xdr:nvSpPr>
          <xdr:spPr>
            <a:xfrm>
              <a:off x="5225199" y="10163680"/>
              <a:ext cx="2980388" cy="4320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z" refreshedDate="46012.957071296296" createdVersion="8" refreshedVersion="8" minRefreshableVersion="3" recordCount="300" xr:uid="{F042911B-C99A-4208-BCBC-E18F42AFC1E9}">
  <cacheSource type="worksheet">
    <worksheetSource name="DataClean"/>
  </cacheSource>
  <cacheFields count="16">
    <cacheField name="Tanggal" numFmtId="14">
      <sharedItems containsSemiMixedTypes="0" containsNonDate="0" containsDate="1" containsString="0" minDate="1930-01-05T00:00:00" maxDate="2929-12-16T00:00:00" count="528">
        <d v="2025-01-03T00:00:00"/>
        <d v="2025-01-22T00:00:00"/>
        <d v="2024-08-09T00:00:00"/>
        <d v="2023-09-21T00:00:00"/>
        <d v="2023-10-08T00:00:00"/>
        <d v="2025-12-13T00:00:00"/>
        <d v="2023-09-06T00:00:00"/>
        <d v="2024-11-02T00:00:00"/>
        <d v="2023-01-30T00:00:00"/>
        <d v="2023-11-11T00:00:00"/>
        <d v="2025-06-22T00:00:00"/>
        <d v="2024-05-08T00:00:00"/>
        <d v="2024-01-27T00:00:00"/>
        <d v="2023-07-04T00:00:00"/>
        <d v="2024-01-31T00:00:00"/>
        <d v="2025-04-02T00:00:00"/>
        <d v="2023-04-22T00:00:00"/>
        <d v="2024-10-31T00:00:00"/>
        <d v="2024-03-12T00:00:00"/>
        <d v="2025-09-07T00:00:00"/>
        <d v="2024-03-28T00:00:00"/>
        <d v="2024-02-16T00:00:00"/>
        <d v="2024-10-20T00:00:00"/>
        <d v="2023-09-17T00:00:00"/>
        <d v="2023-02-28T00:00:00"/>
        <d v="2024-09-25T00:00:00"/>
        <d v="2025-03-09T00:00:00"/>
        <d v="2025-07-03T00:00:00"/>
        <d v="2025-06-23T00:00:00"/>
        <d v="2023-04-04T00:00:00"/>
        <d v="2024-07-05T00:00:00"/>
        <d v="2023-11-06T00:00:00"/>
        <d v="2025-12-25T00:00:00"/>
        <d v="2023-08-04T00:00:00"/>
        <d v="2025-09-30T00:00:00"/>
        <d v="2023-04-08T00:00:00"/>
        <d v="2024-11-26T00:00:00"/>
        <d v="2025-05-05T00:00:00"/>
        <d v="2023-05-10T00:00:00"/>
        <d v="2024-01-23T00:00:00"/>
        <d v="2024-12-27T00:00:00"/>
        <d v="2025-09-03T00:00:00"/>
        <d v="2025-07-02T00:00:00"/>
        <d v="2024-05-13T00:00:00"/>
        <d v="2025-05-20T00:00:00"/>
        <d v="2025-08-06T00:00:00"/>
        <d v="2023-06-16T00:00:00"/>
        <d v="2023-06-11T00:00:00"/>
        <d v="2025-05-08T00:00:00"/>
        <d v="2023-02-08T00:00:00"/>
        <d v="2025-06-29T00:00:00"/>
        <d v="2023-09-03T00:00:00"/>
        <d v="2024-04-27T00:00:00"/>
        <d v="2023-08-17T00:00:00"/>
        <d v="2023-08-03T00:00:00"/>
        <d v="2023-01-12T00:00:00"/>
        <d v="2024-11-09T00:00:00"/>
        <d v="2025-07-25T00:00:00"/>
        <d v="2025-01-10T00:00:00"/>
        <d v="2024-04-23T00:00:00"/>
        <d v="2025-11-08T00:00:00"/>
        <d v="2024-05-21T00:00:00"/>
        <d v="2023-11-27T00:00:00"/>
        <d v="2025-12-01T00:00:00"/>
        <d v="2023-02-14T00:00:00"/>
        <d v="2025-10-02T00:00:00"/>
        <d v="2025-02-08T00:00:00"/>
        <d v="2024-04-17T00:00:00"/>
        <d v="2024-10-29T00:00:00"/>
        <d v="2023-01-29T00:00:00"/>
        <d v="2025-10-17T00:00:00"/>
        <d v="2024-06-24T00:00:00"/>
        <d v="2025-07-12T00:00:00"/>
        <d v="2024-07-02T00:00:00"/>
        <d v="2025-08-15T00:00:00"/>
        <d v="2024-06-10T00:00:00"/>
        <d v="2023-06-04T00:00:00"/>
        <d v="2024-08-30T00:00:00"/>
        <d v="2023-11-01T00:00:00"/>
        <d v="2025-02-09T00:00:00"/>
        <d v="2024-08-17T00:00:00"/>
        <d v="2023-07-05T00:00:00"/>
        <d v="2025-01-08T00:00:00"/>
        <d v="2023-02-03T00:00:00"/>
        <d v="2023-12-29T00:00:00"/>
        <d v="2024-09-20T00:00:00"/>
        <d v="2023-10-10T00:00:00"/>
        <d v="2023-06-10T00:00:00"/>
        <d v="2024-11-17T00:00:00"/>
        <d v="2023-12-30T00:00:00"/>
        <d v="2025-11-06T00:00:00"/>
        <d v="2023-05-03T00:00:00"/>
        <d v="2023-05-20T00:00:00"/>
        <d v="2025-11-30T00:00:00"/>
        <d v="2025-04-05T00:00:00"/>
        <d v="2023-11-08T00:00:00"/>
        <d v="2025-10-09T00:00:00"/>
        <d v="2025-04-03T00:00:00"/>
        <d v="2024-02-03T00:00:00"/>
        <d v="2023-05-08T00:00:00"/>
        <d v="2025-08-20T00:00:00"/>
        <d v="2024-09-01T00:00:00"/>
        <d v="2023-06-12T00:00:00"/>
        <d v="2025-12-07T00:00:00"/>
        <d v="2025-06-14T00:00:00"/>
        <d v="2023-12-05T00:00:00"/>
        <d v="2023-03-04T00:00:00"/>
        <d v="2025-09-05T00:00:00"/>
        <d v="2024-03-30T00:00:00"/>
        <d v="2023-04-30T00:00:00"/>
        <d v="2025-06-15T00:00:00"/>
        <d v="2025-09-24T00:00:00"/>
        <d v="2025-02-07T00:00:00"/>
        <d v="2025-12-29T00:00:00"/>
        <d v="2024-11-19T00:00:00"/>
        <d v="2023-04-10T00:00:00"/>
        <d v="2024-09-11T00:00:00"/>
        <d v="2024-03-04T00:00:00"/>
        <d v="2025-12-23T00:00:00"/>
        <d v="2023-11-02T00:00:00"/>
        <d v="2023-07-06T00:00:00"/>
        <d v="2024-03-05T00:00:00"/>
        <d v="2023-09-15T00:00:00"/>
        <d v="2025-04-04T00:00:00"/>
        <d v="2023-11-18T00:00:00"/>
        <d v="2025-06-13T00:00:00"/>
        <d v="2023-07-30T00:00:00"/>
        <d v="2023-07-01T00:00:00"/>
        <d v="2023-02-09T00:00:00"/>
        <d v="2023-01-22T00:00:00"/>
        <d v="2024-06-26T00:00:00"/>
        <d v="2023-07-09T00:00:00"/>
        <d v="2024-11-15T00:00:00"/>
        <d v="2023-04-21T00:00:00"/>
        <d v="2024-09-08T00:00:00"/>
        <d v="2025-11-28T00:00:00"/>
        <d v="2024-01-20T00:00:00"/>
        <d v="2023-09-05T00:00:00"/>
        <d v="2025-06-01T00:00:00"/>
        <d v="2024-02-28T00:00:00"/>
        <d v="2024-09-06T00:00:00"/>
        <d v="2023-04-29T00:00:00"/>
        <d v="2024-05-29T00:00:00"/>
        <d v="2024-04-18T00:00:00"/>
        <d v="2023-12-06T00:00:00"/>
        <d v="2023-12-22T00:00:00"/>
        <d v="2023-04-28T00:00:00"/>
        <d v="2024-05-11T00:00:00"/>
        <d v="2025-12-27T00:00:00"/>
        <d v="2023-07-22T00:00:00"/>
        <d v="2023-04-18T00:00:00"/>
        <d v="2025-05-18T00:00:00"/>
        <d v="2023-03-03T00:00:00"/>
        <d v="2024-02-26T00:00:00"/>
        <d v="2024-09-18T00:00:00"/>
        <d v="2025-06-26T00:00:00"/>
        <d v="2023-03-19T00:00:00"/>
        <d v="2024-11-13T00:00:00"/>
        <d v="2025-10-31T00:00:00"/>
        <d v="2025-08-31T00:00:00"/>
        <d v="2024-07-26T00:00:00"/>
        <d v="2024-06-27T00:00:00"/>
        <d v="2025-11-02T00:00:00"/>
        <d v="2024-01-18T00:00:00"/>
        <d v="2024-09-17T00:00:00"/>
        <d v="2025-05-15T00:00:00"/>
        <d v="2024-04-26T00:00:00"/>
        <d v="2024-07-28T00:00:00"/>
        <d v="2023-11-10T00:00:00"/>
        <d v="2025-03-27T00:00:00"/>
        <d v="2023-06-30T00:00:00"/>
        <d v="2023-12-08T00:00:00"/>
        <d v="2025-05-28T00:00:00"/>
        <d v="2023-10-04T00:00:00"/>
        <d v="2023-09-27T00:00:00"/>
        <d v="2025-11-16T00:00:00"/>
        <d v="2025-02-19T00:00:00"/>
        <d v="2023-07-15T00:00:00"/>
        <d v="2023-01-16T00:00:00"/>
        <d v="2025-04-25T00:00:00"/>
        <d v="2025-08-09T00:00:00"/>
        <d v="2025-04-29T00:00:00"/>
        <d v="2024-02-21T00:00:00"/>
        <d v="2024-04-15T00:00:00"/>
        <d v="2024-05-12T00:00:00"/>
        <d v="2024-12-02T00:00:00"/>
        <d v="2023-01-01T00:00:00"/>
        <d v="2023-12-14T00:00:00"/>
        <d v="2025-02-11T00:00:00"/>
        <d v="2024-03-27T00:00:00"/>
        <d v="2023-11-16T00:00:00"/>
        <d v="2024-10-27T00:00:00"/>
        <d v="2025-07-26T00:00:00"/>
        <d v="2024-01-24T00:00:00"/>
        <d v="2025-05-23T00:00:00"/>
        <d v="2023-07-20T00:00:00"/>
        <d v="2024-10-15T00:00:00"/>
        <d v="2024-04-02T00:00:00"/>
        <d v="2024-04-03T00:00:00"/>
        <d v="2023-12-17T00:00:00"/>
        <d v="2024-01-04T00:00:00"/>
        <d v="2025-01-24T00:00:00"/>
        <d v="2023-01-26T00:00:00"/>
        <d v="2025-09-13T00:00:00"/>
        <d v="2023-04-07T00:00:00"/>
        <d v="2024-04-01T00:00:00"/>
        <d v="2025-11-13T00:00:00"/>
        <d v="2025-08-24T00:00:00"/>
        <d v="2023-04-17T00:00:00"/>
        <d v="2025-05-10T00:00:00"/>
        <d v="2025-12-24T00:00:00"/>
        <d v="2025-08-12T00:00:00"/>
        <d v="2024-03-14T00:00:00"/>
        <d v="2025-04-28T00:00:00"/>
        <d v="2025-10-03T00:00:00"/>
        <d v="2023-05-17T00:00:00"/>
        <d v="2024-12-12T00:00:00"/>
        <d v="2024-02-04T00:00:00"/>
        <d v="2025-08-01T00:00:00"/>
        <d v="2025-04-17T00:00:00"/>
        <d v="2023-09-12T00:00:00"/>
        <d v="2023-09-04T00:00:00"/>
        <d v="2025-08-11T00:00:00"/>
        <d v="2024-01-07T00:00:00"/>
        <d v="2024-03-18T00:00:00"/>
        <d v="2025-08-21T00:00:00"/>
        <d v="2025-06-25T00:00:00"/>
        <d v="2025-12-04T00:00:00"/>
        <d v="2023-02-22T00:00:00"/>
        <d v="2023-10-29T00:00:00"/>
        <d v="2024-06-18T00:00:00"/>
        <d v="2024-11-23T00:00:00"/>
        <d v="2023-10-14T00:00:00"/>
        <d v="2024-03-13T00:00:00"/>
        <d v="2025-11-29T00:00:00"/>
        <d v="2025-07-19T00:00:00"/>
        <d v="2025-09-14T00:00:00"/>
        <d v="2024-01-13T00:00:00"/>
        <d v="2024-04-09T00:00:00"/>
        <d v="2024-10-07T00:00:00"/>
        <d v="2023-09-18T00:00:00"/>
        <d v="2023-08-08T00:00:00"/>
        <d v="2025-08-18T00:00:00"/>
        <d v="2025-11-24T00:00:00"/>
        <d v="2023-03-12T00:00:00"/>
        <d v="2023-02-27T00:00:00"/>
        <d v="2025-02-13T00:00:00"/>
        <d v="2023-07-31T00:00:00"/>
        <d v="2023-04-15T00:00:00"/>
        <d v="2023-02-11T00:00:00"/>
        <d v="2024-06-15T00:00:00"/>
        <d v="2024-11-20T00:00:00"/>
        <d v="2024-11-21T00:00:00"/>
        <d v="2023-10-11T00:00:00"/>
        <d v="2024-04-08T00:00:00"/>
        <d v="2024-07-24T00:00:00"/>
        <d v="2025-04-19T00:00:00"/>
        <d v="2024-12-25T00:00:00"/>
        <d v="2024-10-24T00:00:00"/>
        <d v="2024-09-02T00:00:00"/>
        <d v="2025-10-15T00:00:00"/>
        <d v="2023-01-02T00:00:00" u="1"/>
        <d v="2023-01-15T00:00:00" u="1"/>
        <d v="2023-01-28T00:00:00" u="1"/>
        <d v="2023-02-05T00:00:00" u="1"/>
        <d v="2023-03-10T00:00:00" u="1"/>
        <d v="2023-03-17T00:00:00" u="1"/>
        <d v="2023-03-25T00:00:00" u="1"/>
        <d v="2023-04-01T00:00:00" u="1"/>
        <d v="2023-04-20T00:00:00" u="1"/>
        <d v="2023-05-21T00:00:00" u="1"/>
        <d v="2023-06-01T00:00:00" u="1"/>
        <d v="2023-06-20T00:00:00" u="1"/>
        <d v="2023-07-25T00:00:00" u="1"/>
        <d v="2023-08-05T00:00:00" u="1"/>
        <d v="2023-08-15T00:00:00" u="1"/>
        <d v="2023-08-25T00:00:00" u="1"/>
        <d v="2023-09-01T00:00:00" u="1"/>
        <d v="2023-09-10T00:00:00" u="1"/>
        <d v="2023-09-20T00:00:00" u="1"/>
        <d v="2023-10-01T00:00:00" u="1"/>
        <d v="2023-10-15T00:00:00" u="1"/>
        <d v="2023-10-25T00:00:00" u="1"/>
        <d v="2023-11-20T00:00:00" u="1"/>
        <d v="2023-12-01T00:00:00" u="1"/>
        <d v="2023-12-15T00:00:00" u="1"/>
        <d v="2023-12-25T00:00:00" u="1"/>
        <d v="2024-01-05T00:00:00" u="1"/>
        <d v="2024-01-15T00:00:00" u="1"/>
        <d v="2024-01-25T00:00:00" u="1"/>
        <d v="2024-02-01T00:00:00" u="1"/>
        <d v="2024-02-10T00:00:00" u="1"/>
        <d v="2024-02-20T00:00:00" u="1"/>
        <d v="2024-03-01T00:00:00" u="1"/>
        <d v="2024-03-15T00:00:00" u="1"/>
        <d v="2024-03-25T00:00:00" u="1"/>
        <d v="2024-04-05T00:00:00" u="1"/>
        <d v="2024-04-25T00:00:00" u="1"/>
        <d v="2024-05-01T00:00:00" u="1"/>
        <d v="2024-05-10T00:00:00" u="1"/>
        <d v="2024-05-20T00:00:00" u="1"/>
        <d v="2024-06-01T00:00:00" u="1"/>
        <d v="2024-06-25T00:00:00" u="1"/>
        <d v="2024-07-15T00:00:00" u="1"/>
        <d v="2024-07-25T00:00:00" u="1"/>
        <d v="2024-08-01T00:00:00" u="1"/>
        <d v="2024-08-10T00:00:00" u="1"/>
        <d v="2024-08-20T00:00:00" u="1"/>
        <d v="2024-09-15T00:00:00" u="1"/>
        <d v="2024-10-05T00:00:00" u="1"/>
        <d v="2024-10-25T00:00:00" u="1"/>
        <d v="2024-11-01T00:00:00" u="1"/>
        <d v="2024-11-10T00:00:00" u="1"/>
        <d v="2024-12-01T00:00:00" u="1"/>
        <d v="2024-12-15T00:00:00" u="1"/>
        <d v="2025-01-05T00:00:00" u="1"/>
        <d v="2025-01-15T00:00:00" u="1"/>
        <d v="2025-01-25T00:00:00" u="1"/>
        <d v="2025-02-01T00:00:00" u="1"/>
        <d v="2025-02-10T00:00:00" u="1"/>
        <d v="2025-02-20T00:00:00" u="1"/>
        <d v="2025-03-01T00:00:00" u="1"/>
        <d v="2025-03-15T00:00:00" u="1"/>
        <d v="2025-03-25T00:00:00" u="1"/>
        <d v="2025-04-15T00:00:00" u="1"/>
        <d v="2025-05-01T00:00:00" u="1"/>
        <d v="2025-07-05T00:00:00" u="1"/>
        <d v="2025-07-15T00:00:00" u="1"/>
        <d v="2025-08-10T00:00:00" u="1"/>
        <d v="2025-09-01T00:00:00" u="1"/>
        <d v="2025-09-15T00:00:00" u="1"/>
        <d v="2025-09-25T00:00:00" u="1"/>
        <d v="2025-10-05T00:00:00" u="1"/>
        <d v="2025-10-25T00:00:00" u="1"/>
        <d v="2025-11-01T00:00:00" u="1"/>
        <d v="2025-11-10T00:00:00" u="1"/>
        <d v="2025-11-20T00:00:00" u="1"/>
        <d v="2025-12-15T00:00:00" u="1"/>
        <d v="2026-01-05T00:00:00" u="1"/>
        <d v="2026-01-15T00:00:00" u="1"/>
        <d v="2026-01-25T00:00:00" u="1"/>
        <d v="2026-02-01T00:00:00" u="1"/>
        <d v="2026-02-10T00:00:00" u="1"/>
        <d v="2026-02-20T00:00:00" u="1"/>
        <d v="2026-03-01T00:00:00" u="1"/>
        <d v="2026-03-15T00:00:00" u="1"/>
        <d v="2026-03-25T00:00:00" u="1"/>
        <d v="2026-04-05T00:00:00" u="1"/>
        <d v="2026-04-15T00:00:00" u="1"/>
        <d v="2026-04-25T00:00:00" u="1"/>
        <d v="2026-05-01T00:00:00" u="1"/>
        <d v="2026-05-10T00:00:00" u="1"/>
        <d v="2026-05-20T00:00:00" u="1"/>
        <d v="2026-06-01T00:00:00" u="1"/>
        <d v="2026-06-15T00:00:00" u="1"/>
        <d v="2026-06-25T00:00:00" u="1"/>
        <d v="2026-07-05T00:00:00" u="1"/>
        <d v="2026-07-15T00:00:00" u="1"/>
        <d v="2026-07-25T00:00:00" u="1"/>
        <d v="2026-08-01T00:00:00" u="1"/>
        <d v="2026-08-10T00:00:00" u="1"/>
        <d v="2026-08-20T00:00:00" u="1"/>
        <d v="2026-09-01T00:00:00" u="1"/>
        <d v="2026-09-15T00:00:00" u="1"/>
        <d v="2026-09-25T00:00:00" u="1"/>
        <d v="2026-10-05T00:00:00" u="1"/>
        <d v="2026-10-15T00:00:00" u="1"/>
        <d v="2026-10-25T00:00:00" u="1"/>
        <d v="2026-11-01T00:00:00" u="1"/>
        <d v="2026-11-10T00:00:00" u="1"/>
        <d v="2026-11-20T00:00:00" u="1"/>
        <d v="2026-12-01T00:00:00" u="1"/>
        <d v="2026-12-15T00:00:00" u="1"/>
        <d v="2026-12-25T00:00:00" u="1"/>
        <d v="2027-01-05T00:00:00" u="1"/>
        <d v="2027-01-15T00:00:00" u="1"/>
        <d v="2027-01-25T00:00:00" u="1"/>
        <d v="2027-02-01T00:00:00" u="1"/>
        <d v="2027-02-10T00:00:00" u="1"/>
        <d v="2027-02-20T00:00:00" u="1"/>
        <d v="2027-03-01T00:00:00" u="1"/>
        <d v="2027-03-15T00:00:00" u="1"/>
        <d v="2027-03-25T00:00:00" u="1"/>
        <d v="2027-04-05T00:00:00" u="1"/>
        <d v="2027-04-15T00:00:00" u="1"/>
        <d v="2027-04-25T00:00:00" u="1"/>
        <d v="2027-05-01T00:00:00" u="1"/>
        <d v="2027-05-10T00:00:00" u="1"/>
        <d v="2027-05-20T00:00:00" u="1"/>
        <d v="2027-06-01T00:00:00" u="1"/>
        <d v="2027-06-15T00:00:00" u="1"/>
        <d v="2027-06-25T00:00:00" u="1"/>
        <d v="2027-07-05T00:00:00" u="1"/>
        <d v="2027-07-15T00:00:00" u="1"/>
        <d v="2027-07-25T00:00:00" u="1"/>
        <d v="2027-08-01T00:00:00" u="1"/>
        <d v="2027-08-10T00:00:00" u="1"/>
        <d v="2027-08-20T00:00:00" u="1"/>
        <d v="2027-09-01T00:00:00" u="1"/>
        <d v="2027-09-15T00:00:00" u="1"/>
        <d v="2027-09-25T00:00:00" u="1"/>
        <d v="2027-10-05T00:00:00" u="1"/>
        <d v="2027-10-15T00:00:00" u="1"/>
        <d v="2027-10-25T00:00:00" u="1"/>
        <d v="2027-11-01T00:00:00" u="1"/>
        <d v="2027-11-10T00:00:00" u="1"/>
        <d v="2027-11-20T00:00:00" u="1"/>
        <d v="2027-12-01T00:00:00" u="1"/>
        <d v="2027-12-15T00:00:00" u="1"/>
        <d v="2027-12-25T00:00:00" u="1"/>
        <d v="2028-01-05T00:00:00" u="1"/>
        <d v="2028-01-15T00:00:00" u="1"/>
        <d v="2028-01-25T00:00:00" u="1"/>
        <d v="2028-02-01T00:00:00" u="1"/>
        <d v="2028-02-10T00:00:00" u="1"/>
        <d v="2028-02-20T00:00:00" u="1"/>
        <d v="2028-03-01T00:00:00" u="1"/>
        <d v="2028-03-15T00:00:00" u="1"/>
        <d v="2028-03-25T00:00:00" u="1"/>
        <d v="2028-04-05T00:00:00" u="1"/>
        <d v="2028-04-15T00:00:00" u="1"/>
        <d v="2028-04-25T00:00:00" u="1"/>
        <d v="2028-05-01T00:00:00" u="1"/>
        <d v="2028-05-10T00:00:00" u="1"/>
        <d v="2028-05-20T00:00:00" u="1"/>
        <d v="2028-06-01T00:00:00" u="1"/>
        <d v="2028-06-15T00:00:00" u="1"/>
        <d v="2028-06-25T00:00:00" u="1"/>
        <d v="2028-07-05T00:00:00" u="1"/>
        <d v="2028-07-15T00:00:00" u="1"/>
        <d v="2028-07-25T00:00:00" u="1"/>
        <d v="2028-08-01T00:00:00" u="1"/>
        <d v="2028-08-10T00:00:00" u="1"/>
        <d v="2028-08-20T00:00:00" u="1"/>
        <d v="2028-09-01T00:00:00" u="1"/>
        <d v="2028-09-15T00:00:00" u="1"/>
        <d v="2028-09-25T00:00:00" u="1"/>
        <d v="2028-10-05T00:00:00" u="1"/>
        <d v="2028-10-15T00:00:00" u="1"/>
        <d v="2028-10-25T00:00:00" u="1"/>
        <d v="2028-11-01T00:00:00" u="1"/>
        <d v="2028-11-10T00:00:00" u="1"/>
        <d v="2028-11-20T00:00:00" u="1"/>
        <d v="2028-12-01T00:00:00" u="1"/>
        <d v="2028-12-15T00:00:00" u="1"/>
        <d v="2028-12-25T00:00:00" u="1"/>
        <d v="2029-01-05T00:00:00" u="1"/>
        <d v="2029-01-15T00:00:00" u="1"/>
        <d v="2029-01-25T00:00:00" u="1"/>
        <d v="2029-02-01T00:00:00" u="1"/>
        <d v="2029-02-10T00:00:00" u="1"/>
        <d v="2029-02-20T00:00:00" u="1"/>
        <d v="2029-03-01T00:00:00" u="1"/>
        <d v="2029-03-15T00:00:00" u="1"/>
        <d v="2029-03-25T00:00:00" u="1"/>
        <d v="2029-04-05T00:00:00" u="1"/>
        <d v="2029-04-15T00:00:00" u="1"/>
        <d v="2029-04-25T00:00:00" u="1"/>
        <d v="2029-05-01T00:00:00" u="1"/>
        <d v="2029-05-10T00:00:00" u="1"/>
        <d v="2029-05-20T00:00:00" u="1"/>
        <d v="2029-06-01T00:00:00" u="1"/>
        <d v="2029-06-15T00:00:00" u="1"/>
        <d v="2029-06-25T00:00:00" u="1"/>
        <d v="2029-07-05T00:00:00" u="1"/>
        <d v="2929-07-15T00:00:00" u="1"/>
        <d v="2029-07-25T00:00:00" u="1"/>
        <d v="2029-08-01T00:00:00" u="1"/>
        <d v="2929-08-10T00:00:00" u="1"/>
        <d v="2029-08-20T00:00:00" u="1"/>
        <d v="2029-09-01T00:00:00" u="1"/>
        <d v="2929-09-15T00:00:00" u="1"/>
        <d v="2029-09-25T00:00:00" u="1"/>
        <d v="2029-10-05T00:00:00" u="1"/>
        <d v="2929-10-15T00:00:00" u="1"/>
        <d v="2029-10-25T00:00:00" u="1"/>
        <d v="2029-11-01T00:00:00" u="1"/>
        <d v="2929-11-10T00:00:00" u="1"/>
        <d v="2029-11-20T00:00:00" u="1"/>
        <d v="2029-12-01T00:00:00" u="1"/>
        <d v="2929-12-15T00:00:00" u="1"/>
        <d v="2029-12-25T00:00:00" u="1"/>
        <d v="1930-01-05T00:00:00" u="1"/>
        <d v="2030-01-15T00:00:00" u="1"/>
        <d v="1930-01-25T00:00:00" u="1"/>
        <d v="1930-02-01T00:00:00" u="1"/>
        <d v="2030-02-10T00:00:00" u="1"/>
        <d v="1930-02-20T00:00:00" u="1"/>
        <d v="1930-03-01T00:00:00" u="1"/>
        <d v="2030-03-15T00:00:00" u="1"/>
        <d v="1930-03-25T00:00:00" u="1"/>
        <d v="1930-04-05T00:00:00" u="1"/>
        <d v="2030-04-15T00:00:00" u="1"/>
        <d v="1930-04-25T00:00:00" u="1"/>
        <d v="1930-05-01T00:00:00" u="1"/>
        <d v="2030-05-10T00:00:00" u="1"/>
        <d v="1930-05-20T00:00:00" u="1"/>
        <d v="1930-06-01T00:00:00" u="1"/>
        <d v="2030-06-15T00:00:00" u="1"/>
        <d v="1930-06-25T00:00:00" u="1"/>
        <d v="1930-07-05T00:00:00" u="1"/>
        <d v="2030-07-15T00:00:00" u="1"/>
        <d v="1930-07-25T00:00:00" u="1"/>
        <d v="1930-08-01T00:00:00" u="1"/>
        <d v="2030-08-10T00:00:00" u="1"/>
        <d v="1930-08-20T00:00:00" u="1"/>
        <d v="1930-09-01T00:00:00" u="1"/>
        <d v="2030-09-15T00:00:00" u="1"/>
        <d v="1930-09-25T00:00:00" u="1"/>
        <d v="1930-10-05T00:00:00" u="1"/>
        <d v="2030-10-15T00:00:00" u="1"/>
        <d v="1930-10-25T00:00:00" u="1"/>
        <d v="1930-11-01T00:00:00" u="1"/>
        <d v="2030-11-10T00:00:00" u="1"/>
        <d v="1930-11-20T00:00:00" u="1"/>
        <d v="1930-12-01T00:00:00" u="1"/>
        <d v="2030-12-15T00:00:00" u="1"/>
        <d v="1930-12-25T00:00:00" u="1"/>
        <d v="1931-01-05T00:00:00" u="1"/>
        <d v="2031-01-15T00:00:00" u="1"/>
        <d v="1931-01-25T00:00:00" u="1"/>
        <d v="1931-02-01T00:00:00" u="1"/>
        <d v="2031-02-10T00:00:00" u="1"/>
        <d v="1931-02-20T00:00:00" u="1"/>
        <d v="1931-03-01T00:00:00" u="1"/>
        <d v="2031-03-15T00:00:00" u="1"/>
        <d v="1931-03-25T00:00:00" u="1"/>
        <d v="1931-04-05T00:00:00" u="1"/>
      </sharedItems>
      <fieldGroup par="15"/>
    </cacheField>
    <cacheField name="ID_Transaksi" numFmtId="0">
      <sharedItems count="300">
        <s v="INV-1001"/>
        <s v="TRX-1002"/>
        <s v="INV-1003"/>
        <s v="TRX-1004"/>
        <s v="INV-1005"/>
        <s v="TRX-1006"/>
        <s v="INV-1007"/>
        <s v="TRX-1008"/>
        <s v="INV-1009"/>
        <s v="INV-1010"/>
        <s v="TRX-1011"/>
        <s v="INV-1012"/>
        <s v="TRX-1013"/>
        <s v="INV-1014"/>
        <s v="TRX-1015"/>
        <s v="INV-1016"/>
        <s v="TRX-1017"/>
        <s v="INV-1018"/>
        <s v="TRX-1019"/>
        <s v="INV-1020"/>
        <s v="TRX-1021"/>
        <s v="INV-1022"/>
        <s v="TRX-1023"/>
        <s v="INV-1024"/>
        <s v="TRX-1025"/>
        <s v="INV-1026"/>
        <s v="TRX-1027"/>
        <s v="INV-1028"/>
        <s v="TRX-1029"/>
        <s v="INV-1030"/>
        <s v="TRX-1031"/>
        <s v="TRX-1032"/>
        <s v="INV-1033"/>
        <s v="TRX-1034"/>
        <s v="INV-1035"/>
        <s v="TRX-1036"/>
        <s v="INV-1037"/>
        <s v="TRX-1038"/>
        <s v="INV-1039"/>
        <s v="TRX-1040"/>
        <s v="INV-1041"/>
        <s v="TRX-1042"/>
        <s v="INV-1043"/>
        <s v="TRX-1044"/>
        <s v="INV-1045"/>
        <s v="TRX-1046"/>
        <s v="TRX-1047"/>
        <s v="INV-1048"/>
        <s v="TRX-1049"/>
        <s v="INV-1050"/>
        <s v="TRX-1051"/>
        <s v="INV-1052"/>
        <s v="TRX-1053"/>
        <s v="INV-1054"/>
        <s v="TRX-1055"/>
        <s v="INV-1056"/>
        <s v="TRX-1057"/>
        <s v="INV-1058"/>
        <s v="TRX-1059"/>
        <s v="INV-1060"/>
        <s v="TRX-1061"/>
        <s v="INV-1062"/>
        <s v="TRX-1063"/>
        <s v="INV-1064"/>
        <s v="TRX-1065"/>
        <s v="INV-1066"/>
        <s v="TRX-1067"/>
        <s v="TRX-1068"/>
        <s v="INV-1069"/>
        <s v="TRX-1070"/>
        <s v="INV-1071"/>
        <s v="TRX-1072"/>
        <s v="INV-1073"/>
        <s v="TRX-1074"/>
        <s v="INV-1075"/>
        <s v="TRX-1076"/>
        <s v="INV-1077"/>
        <s v="TRX-1078"/>
        <s v="INV-1079"/>
        <s v="TRX-1080"/>
        <s v="INV-1081"/>
        <s v="TRX-1082"/>
        <s v="INV-1083"/>
        <s v="TRX-1084"/>
        <s v="INV-1085"/>
        <s v="TRX-1086"/>
        <s v="INV-1087"/>
        <s v="TRX-1088"/>
        <s v="TRX-1089"/>
        <s v="INV-1090"/>
        <s v="TRX-1091"/>
        <s v="INV-1092"/>
        <s v="TRX-1093"/>
        <s v="INV-1094"/>
        <s v="TRX-1095"/>
        <s v="INV-1096"/>
        <s v="TRX-1097"/>
        <s v="INV-1098"/>
        <s v="TRX-1099"/>
        <s v="INV-1100"/>
        <s v="TRX-1101"/>
        <s v="INV-1102"/>
        <s v="TRX-1103"/>
        <s v="INV-1104"/>
        <s v="TRX-1105"/>
        <s v="INV-1106"/>
        <s v="TRX-1107"/>
        <s v="INV-1108"/>
        <s v="TRX-1109"/>
        <s v="INV-1110"/>
        <s v="TRX-1111"/>
        <s v="INV-1112"/>
        <s v="TRX-1113"/>
        <s v="INV-1114"/>
        <s v="TRX-1115"/>
        <s v="INV-1116"/>
        <s v="TRX-1117"/>
        <s v="INV-1118"/>
        <s v="TRX-1119"/>
        <s v="INV-1120"/>
        <s v="TRX-1121"/>
        <s v="INV-1122"/>
        <s v="TRX-1123"/>
        <s v="TRX-1124"/>
        <s v="INV-1125"/>
        <s v="TRX-1126"/>
        <s v="INV-1127"/>
        <s v="TRX-1128"/>
        <s v="INV-1129"/>
        <s v="TRX-1130"/>
        <s v="INV-1131"/>
        <s v="TRX-1132"/>
        <s v="INV-1133"/>
        <s v="TRX-1134"/>
        <s v="INV-1135"/>
        <s v="TRX-1136"/>
        <s v="INV-1137"/>
        <s v="TRX-1138"/>
        <s v="INV-1139"/>
        <s v="TRX-1140"/>
        <s v="INV-1141"/>
        <s v="TRX-1142"/>
        <s v="INV-1143"/>
        <s v="TRX-1144"/>
        <s v="INV-1145"/>
        <s v="TRX-1146"/>
        <s v="INV-1147"/>
        <s v="TRX-1148"/>
        <s v="INV-1149"/>
        <s v="TRX-1150"/>
        <s v="INV-1151"/>
        <s v="TRX-1152"/>
        <s v="INV-1153"/>
        <s v="TRX-1154"/>
        <s v="INV-1155"/>
        <s v="TRX-1156"/>
        <s v="INV-1157"/>
        <s v="INV-1158"/>
        <s v="INV-1159"/>
        <s v="TRX-1160"/>
        <s v="INV-1161"/>
        <s v="TRX-1162"/>
        <s v="INV-1163"/>
        <s v="TRX-1164"/>
        <s v="INV-1165"/>
        <s v="TRX-1166"/>
        <s v="INV-1167"/>
        <s v="TRX-1168"/>
        <s v="INV-1169"/>
        <s v="TRX-1170"/>
        <s v="INV-1171"/>
        <s v="TRX-1172"/>
        <s v="INV-1173"/>
        <s v="TRX-1174"/>
        <s v="INV-1175"/>
        <s v="TRX-1176"/>
        <s v="INV-1177"/>
        <s v="TRX-1178"/>
        <s v="TRX-1179"/>
        <s v="INV-1180"/>
        <s v="TRX-1181"/>
        <s v="INV-1182"/>
        <s v="TRX-1183"/>
        <s v="INV-1184"/>
        <s v="TRX-1185"/>
        <s v="INV-1186"/>
        <s v="TRX-1187"/>
        <s v="INV-1188"/>
        <s v="TRX-1189"/>
        <s v="INV-1190"/>
        <s v="TRX-1191"/>
        <s v="INV-1192"/>
        <s v="TRX-1193"/>
        <s v="INV-1194"/>
        <s v="TRX-1195"/>
        <s v="INV-1196"/>
        <s v="TRX-1197"/>
        <s v="INV-1198"/>
        <s v="TRX-1199"/>
        <s v="TRX-1200"/>
        <s v="INV-1201"/>
        <s v="TRX-1202"/>
        <s v="INV-1203"/>
        <s v="TRX-1204"/>
        <s v="INV-1205"/>
        <s v="TRX-1206"/>
        <s v="INV-1207"/>
        <s v="TRX-1208"/>
        <s v="INV-1209"/>
        <s v="TRX-1210"/>
        <s v="INV-1211"/>
        <s v="TRX-1212"/>
        <s v="INV-1213"/>
        <s v="TRX-1214"/>
        <s v="INV-1215"/>
        <s v="TRX-1216"/>
        <s v="INV-1217"/>
        <s v="TRX-1218"/>
        <s v="INV-1219"/>
        <s v="TRX-1220"/>
        <s v="INV-1221"/>
        <s v="TRX-1222"/>
        <s v="INV-1223"/>
        <s v="TRX-1224"/>
        <s v="INV-1225"/>
        <s v="TRX-1226"/>
        <s v="INV-1227"/>
        <s v="TRX-1228"/>
        <s v="TRX-1229"/>
        <s v="INV-1230"/>
        <s v="TRX-1231"/>
        <s v="INV-1232"/>
        <s v="TRX-1233"/>
        <s v="INV-1234"/>
        <s v="TRX-1235"/>
        <s v="INV-1236"/>
        <s v="TRX-1237"/>
        <s v="INV-1238"/>
        <s v="TRX-1239"/>
        <s v="INV-1240"/>
        <s v="TRX-1241"/>
        <s v="INV-1242"/>
        <s v="TRX-1243"/>
        <s v="INV-1244"/>
        <s v="TRX-1245"/>
        <s v="INV-1246"/>
        <s v="TRX-1247"/>
        <s v="INV-1248"/>
        <s v="TRX-1249"/>
        <s v="INV-1250"/>
        <s v="TRX-1251"/>
        <s v="INV-1252"/>
        <s v="TRX-1253"/>
        <s v="INV-1254"/>
        <s v="TRX-1255"/>
        <s v="INV-1256"/>
        <s v="TRX-1257"/>
        <s v="INV-1258"/>
        <s v="TRX-1259"/>
        <s v="INV-1260"/>
        <s v="TRX-1261"/>
        <s v="INV-1262"/>
        <s v="TRX-1263"/>
        <s v="INV-1264"/>
        <s v="TRX-1265"/>
        <s v="INV-1266"/>
        <s v="TRX-1267"/>
        <s v="INV-1268"/>
        <s v="TRX-1269"/>
        <s v="TRX-1270"/>
        <s v="INV-1271"/>
        <s v="TRX-1272"/>
        <s v="INV-1273"/>
        <s v="TRX-1274"/>
        <s v="INV-1275"/>
        <s v="TRX-1276"/>
        <s v="INV-1277"/>
        <s v="TRX-1278"/>
        <s v="INV-1279"/>
        <s v="TRX-1280"/>
        <s v="INV-1281"/>
        <s v="TRX-1282"/>
        <s v="INV-1283"/>
        <s v="TRX-1284"/>
        <s v="INV-1285"/>
        <s v="TRX-1286"/>
        <s v="INV-1287"/>
        <s v="TRX-1288"/>
        <s v="INV-1289"/>
        <s v="TRX-1290"/>
        <s v="INV-1291"/>
        <s v="TRX-1292"/>
        <s v="INV-1293"/>
        <s v="TRX-1294"/>
        <s v="INV-1295"/>
        <s v="TRX-1296"/>
        <s v="INV-1297"/>
        <s v="TRX-1298"/>
        <s v="INV-1299"/>
        <s v="TRX-1300"/>
      </sharedItems>
    </cacheField>
    <cacheField name="Nama_Toko" numFmtId="0">
      <sharedItems count="240">
        <s v="Toko Berkah"/>
        <s v="Supermarket Indah"/>
        <s v="Grosir Maju Jaya"/>
        <s v="Warung Jujur"/>
        <s v="Toko Abadi"/>
        <s v="Pasar Jaya"/>
        <s v="Minimarket Sejahtera"/>
        <s v="Toko Sari"/>
        <s v="Toko Sembako"/>
        <s v="Warung Depan"/>
        <s v="Toko Hoki"/>
        <s v="Pasar Rame"/>
        <s v="Grosir Laris"/>
        <s v="Minimarket Cepat"/>
        <s v="Toko Murni"/>
        <s v="Warung Santai"/>
        <s v="Gudang Besar"/>
        <s v="Pasar Pagi"/>
        <s v="Minimarket Istimewa"/>
        <s v="Toko Serba Ada"/>
        <s v="Grosir Murah Banget"/>
        <s v="Warung Pojok"/>
        <s v="Gudang Cepat"/>
        <s v="Toko Lengkap"/>
        <s v="Pasar Malam"/>
        <s v="Minimarket Tepat"/>
        <s v="Toko Bersama"/>
        <s v="Grosir Hebat"/>
        <s v="Warung Kita"/>
        <s v="Gudang Kecil"/>
        <s v="Toko Maju"/>
        <s v="Pasar Senja"/>
        <s v="Minimarket Sinar"/>
        <s v="Toko Bahagia"/>
        <s v="Grosir Hemat"/>
        <s v="Warung Asri"/>
        <s v="Gudang Baru"/>
        <s v="Toko Sentral"/>
        <s v="Pasar Subuh"/>
        <s v="Minimarket Rakyat"/>
        <s v="Toko Kreatif"/>
        <s v="Grosir Pusat"/>
        <s v="Warung Sehat"/>
        <s v="Toko Murah"/>
        <s v="Pasar Ceriam"/>
        <s v="Minimarket Bersama"/>
        <s v="Toko Nyaman"/>
        <s v="Grosir Kiloan"/>
        <s v="Warung Damai"/>
        <s v="Gudang Canggih"/>
        <s v="Toko Sukses"/>
        <s v="Pasar Sentral"/>
        <s v="Minimarket Pintar"/>
        <s v="Toko Rizki"/>
        <s v="Grosir Pangan"/>
        <s v="Warung Jaya"/>
        <s v="Gudang Utama"/>
        <s v="Toko Sejahtera"/>
        <s v="Pasar Raya"/>
        <s v="Minimarket Modern"/>
        <s v="Toko Makmur"/>
        <s v="Grosir Segar"/>
        <s v="Warung Baru"/>
        <s v="Gudang Pemasok"/>
        <s v="Toko Ceria"/>
        <s v="Pasar Sore"/>
        <s v="Minimarket Tumbuh"/>
        <s v="Toko Unggul"/>
        <s v="Grosir Terpercaya"/>
        <s v="Warung Bahagia"/>
        <s v="Gudang Emas"/>
        <s v="Toko Mega"/>
        <s v="Pasar Induk"/>
        <s v="Minimarket Laris"/>
        <s v="Toko Pilihan"/>
        <s v="Grosir Penuh"/>
        <s v="Warung Nusa"/>
        <s v="Gudang Pelangi"/>
        <s v="Toko Hebat"/>
        <s v="Pasar Terang"/>
        <s v="Minimarket Prima"/>
        <s v="Toko Damai"/>
        <s v="Grosir Utama"/>
        <s v="Warung Nyaman"/>
        <s v="Gudang Lama"/>
        <s v="Toko Rapi"/>
        <s v="Pasar Mekar"/>
        <s v="Minimarket Akbar"/>
        <s v="Toko Mulia"/>
        <s v="Grosir Mantap"/>
        <s v="Warung Serasi"/>
        <s v="Gudang Berkah"/>
        <s v="Toko Lancar"/>
        <s v="Pasar Sejuk"/>
        <s v="Minimarket Andal"/>
        <s v="Toko Baru"/>
        <s v="Grosir Lama"/>
        <s v="Warung Ramai"/>
        <s v="Gudang Barat"/>
        <s v="Toko Cepat"/>
        <s v="Pasar Jumat"/>
        <s v="Minimarket Utama"/>
        <s v="Toko Hemat"/>
        <s v="Grosir Terlaris"/>
        <s v="Warung Sejuk"/>
        <s v="Gudang Timur"/>
        <s v="Toko Harapan"/>
        <s v="Pasar Pekan"/>
        <s v="Minimarket Pusat"/>
        <s v="Toko Kawan"/>
        <s v="Grosir Bersama"/>
        <s v="Warung Cepat"/>
        <s v="Gudang Utara"/>
        <s v="Toko Adil"/>
        <s v="Pasar Senin"/>
        <s v="Minimarket Jaya"/>
        <s v="Toko Setia"/>
        <s v="Grosir Hemat Banget"/>
        <s v="Warung Cinta"/>
        <s v="Gudang Selatan"/>
        <s v="Toko Cipta"/>
        <s v="Pasar Baru"/>
        <s v="Minimarket Berkah"/>
        <s v="Grosir Makmur"/>
        <s v="Warung Jago"/>
        <s v="Gudang Indah"/>
        <s v="Toko Ramah"/>
        <s v="Pasar Mewah"/>
        <s v="Minimarket Unggul"/>
        <s v="Toko Cermat"/>
        <s v="Grosir Pintar"/>
        <s v="Warung Hebat"/>
        <s v="Gudang Asri"/>
        <s v="Toko Gemilang"/>
        <s v="Pasar Raya Besar"/>
        <s v="Minimarket Lestari"/>
        <s v="Toko Damai Abadi"/>
        <s v="Grosir Tani"/>
        <s v="Warung Tengah"/>
        <s v="Gudang Rahmat"/>
        <s v="Toko Istana"/>
        <s v="Pasar Kilat"/>
        <s v="Minimarket Hemat"/>
        <s v="Toko Sahabat"/>
        <s v="Grosir Dunia"/>
        <s v="Warung Jasa"/>
        <s v="Gudang Barokah"/>
        <s v="Toko Cemerlang"/>
        <s v="Pasar Kemayoran"/>
        <s v="Minimarket Bintang"/>
        <s v="Toko Karya"/>
        <s v="Grosir Sempurna"/>
        <s v="Warung Berkah"/>
        <s v="Toko Maju Lancar"/>
        <s v="Minimarket Terdekat"/>
        <s v="Toko Harum"/>
        <s v="Grosir Mulia"/>
        <s v="Warung Barokah"/>
        <s v="Gudang Jaya Abadi"/>
        <s v="Toko Cita"/>
        <s v="Pasar Tanjung"/>
        <s v="Minimarket Pahlawan"/>
        <s v="Toko Sinar Jaya"/>
        <s v="Grosir Mega"/>
        <s v="Warung Kecil"/>
        <s v="Gudang Pintar"/>
        <s v="Toko Semesta"/>
        <s v="Pasar Pagi Hari"/>
        <s v="Minimarket Jasa"/>
        <s v="Toko Mitra"/>
        <s v="Grosir Pusat Kota"/>
        <s v="Gudang Serba Ada"/>
        <s v="Toko Ramai"/>
        <s v="Pasar Pahlawan"/>
        <s v="Minimarket Sehat"/>
        <s v="Toko Besar"/>
        <s v="Grosir Abadi"/>
        <s v="Warung Murni"/>
        <s v="Gudang Makmur"/>
        <s v="Toko Pelita"/>
        <s v="Minimarket Cahaya"/>
        <s v="Toko Mandiri"/>
        <s v="Grosir Andal"/>
        <s v="Warung Gembira"/>
        <s v="Gudang Muda"/>
        <s v="Toko Rajin"/>
        <s v="Pasar Jumat Berkah"/>
        <s v="Minimarket Adil"/>
        <s v="Toko Nyata"/>
        <s v="Grosir Terdepan"/>
        <s v="Toko Ramah Tamah"/>
        <s v="Minimarket Pagi"/>
        <s v="Toko Pertiwi"/>
        <s v="Warung Barat"/>
        <s v="Gudang Baru Lagi"/>
        <s v="Toko Keren"/>
        <s v="Pasar Minggu"/>
        <s v="Minimarket Terang"/>
        <s v="Toko Adinda"/>
        <s v="Grosir Sakti"/>
        <s v="Warung Santai Pagi"/>
        <s v="Gudang Mega"/>
        <s v="Toko Senang"/>
        <s v="Pasar Pagi Ceria"/>
        <s v="Minimarket Super"/>
        <s v="Toko Masa Depan"/>
        <s v="Grosir Baru"/>
        <s v="Warung Cemerlang"/>
        <s v="Gudang Paling Murah"/>
        <s v="Pasar Terpadu"/>
        <s v="Minimarket Bersinar"/>
        <s v="Toko Segar"/>
        <s v="Grosir Cepat"/>
        <s v="Warung Sehat Bugar"/>
        <s v="Gudang Lancar"/>
        <s v="Toko Cipta Rasa"/>
        <s v="Pasar Indah"/>
        <s v="Minimarket Damai"/>
        <s v="Grosir Pertiwi"/>
        <s v="Warung Jaya Selalu"/>
        <s v="Gudang Utama Jaya"/>
        <s v="Pasar Tani"/>
        <s v="Grosir Maju"/>
        <s v="Warung Kecil Pojok"/>
        <s v="Toko Pelangi"/>
        <s v="Toko Abadi Selalu"/>
        <s v="Grosir Senja"/>
        <s v="Toko Barokah"/>
        <s v="Toko Istimewa"/>
        <s v="Grosir Emas"/>
        <s v="Gudang Besar Sekali"/>
        <s v="Toko Maju Terus"/>
        <s v="Pasar Rame Banget"/>
        <s v="Toko Terbaik"/>
        <s v="Minimarket Nyaman"/>
        <s v="Toko Seru"/>
        <s v="Gudang Pelita"/>
        <s v="Pasar Pagi Bugar"/>
        <s v="Toko Jaya"/>
        <s v="Pasar Senja Indah"/>
      </sharedItems>
    </cacheField>
    <cacheField name="Kategori_Produk" numFmtId="0">
      <sharedItems count="6">
        <s v="Makanan"/>
        <s v="Minuman"/>
        <s v="Elektronik"/>
        <s v="Kecantikan"/>
        <s v="Pakaian"/>
        <s v="Mainan"/>
      </sharedItems>
    </cacheField>
    <cacheField name="Nama Produk" numFmtId="0">
      <sharedItems/>
    </cacheField>
    <cacheField name="Qty" numFmtId="1">
      <sharedItems containsSemiMixedTypes="0" containsString="0" containsNumber="1" containsInteger="1" minValue="1" maxValue="25"/>
    </cacheField>
    <cacheField name="Harga_Satuan" numFmtId="165">
      <sharedItems containsSemiMixedTypes="0" containsString="0" containsNumber="1" containsInteger="1" minValue="3000" maxValue="800000"/>
    </cacheField>
    <cacheField name="Modal" numFmtId="165">
      <sharedItems containsSemiMixedTypes="0" containsString="0" containsNumber="1" containsInteger="1" minValue="1800" maxValue="480000"/>
    </cacheField>
    <cacheField name="Margin" numFmtId="165">
      <sharedItems containsSemiMixedTypes="0" containsString="0" containsNumber="1" containsInteger="1" minValue="1200" maxValue="320000"/>
    </cacheField>
    <cacheField name="Total_Penjualan" numFmtId="165">
      <sharedItems containsSemiMixedTypes="0" containsString="0" containsNumber="1" containsInteger="1" minValue="10500" maxValue="800000"/>
    </cacheField>
    <cacheField name="Profit" numFmtId="165">
      <sharedItems containsSemiMixedTypes="0" containsString="0" containsNumber="1" containsInteger="1" minValue="6000" maxValue="544000"/>
    </cacheField>
    <cacheField name="Kota" numFmtId="0">
      <sharedItems count="12">
        <s v="Jakarta"/>
        <s v="Bandung"/>
        <s v="Surabaya"/>
        <s v="Jakarta Pusat"/>
        <s v="Depok"/>
        <s v="Medan"/>
        <s v="Semarang"/>
        <s v="Denpasar"/>
        <s v="Jakarta Barat"/>
        <s v="Malang"/>
        <s v="Yogyakarta"/>
        <s v="Jakarta Selatan"/>
      </sharedItems>
    </cacheField>
    <cacheField name="Metode_Pembayaran" numFmtId="0">
      <sharedItems count="3">
        <s v="Tunai"/>
        <s v="Kartu Debit"/>
        <s v="Kartu Kredit"/>
      </sharedItems>
    </cacheField>
    <cacheField name="Months (Tanggal)" numFmtId="0" databaseField="0">
      <fieldGroup base="0">
        <rangePr groupBy="months" startDate="2023-01-01T00:00:00" endDate="2025-12-30T00:00:00"/>
        <groupItems count="14">
          <s v="&lt;01/01/2023"/>
          <s v="Jan"/>
          <s v="Feb"/>
          <s v="Mar"/>
          <s v="Apr"/>
          <s v="May"/>
          <s v="Jun"/>
          <s v="Jul"/>
          <s v="Aug"/>
          <s v="Sep"/>
          <s v="Oct"/>
          <s v="Nov"/>
          <s v="Dec"/>
          <s v="&gt;30/12/2025"/>
        </groupItems>
      </fieldGroup>
    </cacheField>
    <cacheField name="Quarters (Tanggal)" numFmtId="0" databaseField="0">
      <fieldGroup base="0">
        <rangePr groupBy="quarters" startDate="2023-01-01T00:00:00" endDate="2025-12-30T00:00:00"/>
        <groupItems count="6">
          <s v="&lt;01/01/2023"/>
          <s v="Qtr1"/>
          <s v="Qtr2"/>
          <s v="Qtr3"/>
          <s v="Qtr4"/>
          <s v="&gt;30/12/2025"/>
        </groupItems>
      </fieldGroup>
    </cacheField>
    <cacheField name="Years (Tanggal)" numFmtId="0" databaseField="0">
      <fieldGroup base="0">
        <rangePr groupBy="years" startDate="2023-01-01T00:00:00" endDate="2025-12-30T00:00:00"/>
        <groupItems count="5">
          <s v="&lt;01/01/2023"/>
          <s v="2023"/>
          <s v="2024"/>
          <s v="2025"/>
          <s v="&gt;30/12/2025"/>
        </groupItems>
      </fieldGroup>
    </cacheField>
  </cacheFields>
  <extLst>
    <ext xmlns:x14="http://schemas.microsoft.com/office/spreadsheetml/2009/9/main" uri="{725AE2AE-9491-48be-B2B4-4EB974FC3084}">
      <x14:pivotCacheDefinition pivotCacheId="1515889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s v="Mie Instan Rasa Ayam"/>
    <n v="3"/>
    <n v="3500"/>
    <n v="2100"/>
    <n v="1400"/>
    <n v="10500"/>
    <n v="8400"/>
    <x v="0"/>
    <x v="0"/>
  </r>
  <r>
    <x v="1"/>
    <x v="1"/>
    <x v="1"/>
    <x v="1"/>
    <s v="Air Mineral Botol 600Ml"/>
    <n v="10"/>
    <n v="4000"/>
    <n v="2400"/>
    <n v="1600"/>
    <n v="40000"/>
    <n v="37600"/>
    <x v="1"/>
    <x v="1"/>
  </r>
  <r>
    <x v="2"/>
    <x v="2"/>
    <x v="2"/>
    <x v="2"/>
    <s v="Lampu Led 10 Watt"/>
    <n v="1"/>
    <n v="25000"/>
    <n v="15000"/>
    <n v="10000"/>
    <n v="25000"/>
    <n v="10000"/>
    <x v="2"/>
    <x v="2"/>
  </r>
  <r>
    <x v="3"/>
    <x v="3"/>
    <x v="3"/>
    <x v="3"/>
    <s v="Sabun Mandi Cair 500Ml"/>
    <n v="2"/>
    <n v="18000"/>
    <n v="10800"/>
    <n v="7200"/>
    <n v="36000"/>
    <n v="25200"/>
    <x v="3"/>
    <x v="0"/>
  </r>
  <r>
    <x v="4"/>
    <x v="4"/>
    <x v="4"/>
    <x v="0"/>
    <s v="Kopi Robusta 250G"/>
    <n v="5"/>
    <n v="30000"/>
    <n v="18000"/>
    <n v="12000"/>
    <n v="150000"/>
    <n v="132000"/>
    <x v="4"/>
    <x v="1"/>
  </r>
  <r>
    <x v="5"/>
    <x v="5"/>
    <x v="5"/>
    <x v="4"/>
    <s v="Kaos Oblong Pria"/>
    <n v="4"/>
    <n v="50000"/>
    <n v="30000"/>
    <n v="20000"/>
    <n v="200000"/>
    <n v="170000"/>
    <x v="5"/>
    <x v="0"/>
  </r>
  <r>
    <x v="6"/>
    <x v="6"/>
    <x v="6"/>
    <x v="5"/>
    <s v="Mobil Mainan Plastik"/>
    <n v="1"/>
    <n v="15000"/>
    <n v="9000"/>
    <n v="6000"/>
    <n v="15000"/>
    <n v="6000"/>
    <x v="1"/>
    <x v="2"/>
  </r>
  <r>
    <x v="7"/>
    <x v="7"/>
    <x v="7"/>
    <x v="0"/>
    <s v="Snack Keripik Kentang"/>
    <n v="8"/>
    <n v="12500"/>
    <n v="7500"/>
    <n v="5000"/>
    <n v="100000"/>
    <n v="92500"/>
    <x v="6"/>
    <x v="0"/>
  </r>
  <r>
    <x v="8"/>
    <x v="8"/>
    <x v="7"/>
    <x v="1"/>
    <s v="Teh Celup Kotak Kecil"/>
    <n v="2"/>
    <n v="7000"/>
    <n v="4200"/>
    <n v="2800"/>
    <n v="14000"/>
    <n v="9800"/>
    <x v="2"/>
    <x v="1"/>
  </r>
  <r>
    <x v="9"/>
    <x v="9"/>
    <x v="8"/>
    <x v="2"/>
    <s v="Baterai Aa Pack 4"/>
    <n v="3"/>
    <n v="30000"/>
    <n v="18000"/>
    <n v="12000"/>
    <n v="90000"/>
    <n v="72000"/>
    <x v="7"/>
    <x v="2"/>
  </r>
  <r>
    <x v="10"/>
    <x v="10"/>
    <x v="9"/>
    <x v="3"/>
    <s v="Shampoo Anti Ketombe"/>
    <n v="1"/>
    <n v="22000"/>
    <n v="13200"/>
    <n v="8800"/>
    <n v="22000"/>
    <n v="8800"/>
    <x v="8"/>
    <x v="0"/>
  </r>
  <r>
    <x v="11"/>
    <x v="11"/>
    <x v="10"/>
    <x v="0"/>
    <s v="Biskuit Rasa Coklat"/>
    <n v="6"/>
    <n v="8000"/>
    <n v="4800"/>
    <n v="3200"/>
    <n v="48000"/>
    <n v="43200"/>
    <x v="9"/>
    <x v="1"/>
  </r>
  <r>
    <x v="12"/>
    <x v="12"/>
    <x v="11"/>
    <x v="4"/>
    <s v="Celana Jeans Biru"/>
    <n v="1"/>
    <n v="350000"/>
    <n v="210000"/>
    <n v="140000"/>
    <n v="350000"/>
    <n v="140000"/>
    <x v="10"/>
    <x v="2"/>
  </r>
  <r>
    <x v="13"/>
    <x v="13"/>
    <x v="12"/>
    <x v="5"/>
    <s v="Boneka Barbie Original"/>
    <n v="1"/>
    <n v="75000"/>
    <n v="45000"/>
    <n v="30000"/>
    <n v="75000"/>
    <n v="30000"/>
    <x v="5"/>
    <x v="0"/>
  </r>
  <r>
    <x v="14"/>
    <x v="14"/>
    <x v="13"/>
    <x v="0"/>
    <s v="Sereal Sarapan Kotak"/>
    <n v="4"/>
    <n v="28000"/>
    <n v="16800"/>
    <n v="11200"/>
    <n v="112000"/>
    <n v="95200"/>
    <x v="1"/>
    <x v="0"/>
  </r>
  <r>
    <x v="15"/>
    <x v="15"/>
    <x v="14"/>
    <x v="1"/>
    <s v="Jus Buah Segar 1L"/>
    <n v="2"/>
    <n v="20000"/>
    <n v="12000"/>
    <n v="8000"/>
    <n v="40000"/>
    <n v="28000"/>
    <x v="6"/>
    <x v="1"/>
  </r>
  <r>
    <x v="16"/>
    <x v="16"/>
    <x v="15"/>
    <x v="2"/>
    <s v="Kabel Data Usb C"/>
    <n v="5"/>
    <n v="15000"/>
    <n v="9000"/>
    <n v="6000"/>
    <n v="75000"/>
    <n v="66000"/>
    <x v="2"/>
    <x v="2"/>
  </r>
  <r>
    <x v="17"/>
    <x v="17"/>
    <x v="16"/>
    <x v="3"/>
    <s v="Lipstik Warna Merah"/>
    <n v="1"/>
    <n v="55000"/>
    <n v="33000"/>
    <n v="22000"/>
    <n v="55000"/>
    <n v="22000"/>
    <x v="7"/>
    <x v="0"/>
  </r>
  <r>
    <x v="18"/>
    <x v="18"/>
    <x v="16"/>
    <x v="0"/>
    <s v="Tepung Terigu 1 Kg"/>
    <n v="10"/>
    <n v="11000"/>
    <n v="6600"/>
    <n v="4400"/>
    <n v="110000"/>
    <n v="103400"/>
    <x v="0"/>
    <x v="1"/>
  </r>
  <r>
    <x v="19"/>
    <x v="19"/>
    <x v="17"/>
    <x v="4"/>
    <s v="Kemeja Batik Lengan Panjang"/>
    <n v="3"/>
    <n v="120000"/>
    <n v="72000"/>
    <n v="48000"/>
    <n v="360000"/>
    <n v="288000"/>
    <x v="5"/>
    <x v="0"/>
  </r>
  <r>
    <x v="20"/>
    <x v="20"/>
    <x v="18"/>
    <x v="5"/>
    <s v="Puzzle Kayu Edukasi"/>
    <n v="2"/>
    <n v="45000"/>
    <n v="27000"/>
    <n v="18000"/>
    <n v="90000"/>
    <n v="63000"/>
    <x v="10"/>
    <x v="2"/>
  </r>
  <r>
    <x v="21"/>
    <x v="21"/>
    <x v="19"/>
    <x v="0"/>
    <s v="Telur Ayam Ras Pack 10"/>
    <n v="12"/>
    <n v="20000"/>
    <n v="12000"/>
    <n v="8000"/>
    <n v="240000"/>
    <n v="228000"/>
    <x v="9"/>
    <x v="0"/>
  </r>
  <r>
    <x v="22"/>
    <x v="22"/>
    <x v="20"/>
    <x v="1"/>
    <s v="Susu Uht Full Cream 1L"/>
    <n v="7"/>
    <n v="17500"/>
    <n v="10500"/>
    <n v="7000"/>
    <n v="122500"/>
    <n v="112000"/>
    <x v="1"/>
    <x v="1"/>
  </r>
  <r>
    <x v="23"/>
    <x v="23"/>
    <x v="21"/>
    <x v="2"/>
    <s v="Power Bank 10000Mah"/>
    <n v="1"/>
    <n v="150000"/>
    <n v="90000"/>
    <n v="60000"/>
    <n v="150000"/>
    <n v="60000"/>
    <x v="6"/>
    <x v="2"/>
  </r>
  <r>
    <x v="24"/>
    <x v="24"/>
    <x v="22"/>
    <x v="3"/>
    <s v="Pelembab Wajah Siang"/>
    <n v="3"/>
    <n v="40000"/>
    <n v="24000"/>
    <n v="16000"/>
    <n v="120000"/>
    <n v="96000"/>
    <x v="2"/>
    <x v="0"/>
  </r>
  <r>
    <x v="25"/>
    <x v="25"/>
    <x v="23"/>
    <x v="0"/>
    <s v="Gula Pasir 1 Kg"/>
    <n v="9"/>
    <n v="13500"/>
    <n v="8100"/>
    <n v="5400"/>
    <n v="121500"/>
    <n v="113400"/>
    <x v="4"/>
    <x v="1"/>
  </r>
  <r>
    <x v="26"/>
    <x v="26"/>
    <x v="24"/>
    <x v="4"/>
    <s v="Sepatu Sneaker Kasual"/>
    <n v="1"/>
    <n v="450000"/>
    <n v="270000"/>
    <n v="180000"/>
    <n v="450000"/>
    <n v="180000"/>
    <x v="11"/>
    <x v="0"/>
  </r>
  <r>
    <x v="27"/>
    <x v="27"/>
    <x v="25"/>
    <x v="5"/>
    <s v="Set Mainan Masak-Masakan"/>
    <n v="4"/>
    <n v="60000"/>
    <n v="36000"/>
    <n v="24000"/>
    <n v="240000"/>
    <n v="204000"/>
    <x v="5"/>
    <x v="2"/>
  </r>
  <r>
    <x v="28"/>
    <x v="28"/>
    <x v="26"/>
    <x v="0"/>
    <s v="Roti Tawar Gandum"/>
    <n v="5"/>
    <n v="18000"/>
    <n v="10800"/>
    <n v="7200"/>
    <n v="90000"/>
    <n v="79200"/>
    <x v="10"/>
    <x v="0"/>
  </r>
  <r>
    <x v="29"/>
    <x v="29"/>
    <x v="27"/>
    <x v="1"/>
    <s v="Kopi Bubuk Hitam 100G"/>
    <n v="15"/>
    <n v="10000"/>
    <n v="6000"/>
    <n v="4000"/>
    <n v="150000"/>
    <n v="144000"/>
    <x v="9"/>
    <x v="1"/>
  </r>
  <r>
    <x v="27"/>
    <x v="30"/>
    <x v="28"/>
    <x v="2"/>
    <s v="Headset Bluetooth"/>
    <n v="2"/>
    <n v="85000"/>
    <n v="51000"/>
    <n v="34000"/>
    <n v="170000"/>
    <n v="119000"/>
    <x v="1"/>
    <x v="2"/>
  </r>
  <r>
    <x v="30"/>
    <x v="31"/>
    <x v="29"/>
    <x v="3"/>
    <s v="Parfum Wanita Edp 50Ml"/>
    <n v="1"/>
    <n v="300000"/>
    <n v="180000"/>
    <n v="120000"/>
    <n v="300000"/>
    <n v="120000"/>
    <x v="6"/>
    <x v="0"/>
  </r>
  <r>
    <x v="31"/>
    <x v="32"/>
    <x v="30"/>
    <x v="0"/>
    <s v="Keju Cheddar Blok"/>
    <n v="3"/>
    <n v="35000"/>
    <n v="21000"/>
    <n v="14000"/>
    <n v="105000"/>
    <n v="84000"/>
    <x v="2"/>
    <x v="1"/>
  </r>
  <r>
    <x v="32"/>
    <x v="33"/>
    <x v="31"/>
    <x v="4"/>
    <s v="Daster Ibu Hamil"/>
    <n v="6"/>
    <n v="70000"/>
    <n v="42000"/>
    <n v="28000"/>
    <n v="420000"/>
    <n v="378000"/>
    <x v="7"/>
    <x v="0"/>
  </r>
  <r>
    <x v="33"/>
    <x v="34"/>
    <x v="32"/>
    <x v="5"/>
    <s v="Kolam Renang Karet Anak"/>
    <n v="1"/>
    <n v="180000"/>
    <n v="108000"/>
    <n v="72000"/>
    <n v="180000"/>
    <n v="72000"/>
    <x v="0"/>
    <x v="2"/>
  </r>
  <r>
    <x v="34"/>
    <x v="35"/>
    <x v="33"/>
    <x v="0"/>
    <s v="Coklat Batangan Import"/>
    <n v="10"/>
    <n v="25000"/>
    <n v="15000"/>
    <n v="10000"/>
    <n v="250000"/>
    <n v="235000"/>
    <x v="5"/>
    <x v="0"/>
  </r>
  <r>
    <x v="35"/>
    <x v="36"/>
    <x v="34"/>
    <x v="1"/>
    <s v="Minuman Energi Kaleng"/>
    <n v="20"/>
    <n v="8000"/>
    <n v="4800"/>
    <n v="3200"/>
    <n v="160000"/>
    <n v="155200"/>
    <x v="10"/>
    <x v="1"/>
  </r>
  <r>
    <x v="36"/>
    <x v="37"/>
    <x v="35"/>
    <x v="2"/>
    <s v="Mouse Wireless"/>
    <n v="4"/>
    <n v="50000"/>
    <n v="30000"/>
    <n v="20000"/>
    <n v="200000"/>
    <n v="170000"/>
    <x v="9"/>
    <x v="2"/>
  </r>
  <r>
    <x v="37"/>
    <x v="38"/>
    <x v="36"/>
    <x v="3"/>
    <s v="Masker Wajah Sheet"/>
    <n v="5"/>
    <n v="15000"/>
    <n v="9000"/>
    <n v="6000"/>
    <n v="75000"/>
    <n v="66000"/>
    <x v="1"/>
    <x v="0"/>
  </r>
  <r>
    <x v="38"/>
    <x v="39"/>
    <x v="37"/>
    <x v="0"/>
    <s v="Kerupuk Udang"/>
    <n v="15"/>
    <n v="7000"/>
    <n v="4200"/>
    <n v="2800"/>
    <n v="105000"/>
    <n v="100800"/>
    <x v="6"/>
    <x v="1"/>
  </r>
  <r>
    <x v="39"/>
    <x v="40"/>
    <x v="38"/>
    <x v="4"/>
    <s v="Sandal Jepit Casual"/>
    <n v="8"/>
    <n v="25000"/>
    <n v="15000"/>
    <n v="10000"/>
    <n v="200000"/>
    <n v="185000"/>
    <x v="2"/>
    <x v="0"/>
  </r>
  <r>
    <x v="40"/>
    <x v="41"/>
    <x v="39"/>
    <x v="5"/>
    <s v="Balon Udara Mainan"/>
    <n v="12"/>
    <n v="5000"/>
    <n v="3000"/>
    <n v="2000"/>
    <n v="60000"/>
    <n v="57000"/>
    <x v="4"/>
    <x v="2"/>
  </r>
  <r>
    <x v="41"/>
    <x v="42"/>
    <x v="40"/>
    <x v="0"/>
    <s v="Nasi Instan Siap Saji"/>
    <n v="2"/>
    <n v="17000"/>
    <n v="10200"/>
    <n v="6800"/>
    <n v="34000"/>
    <n v="23800"/>
    <x v="11"/>
    <x v="0"/>
  </r>
  <r>
    <x v="42"/>
    <x v="43"/>
    <x v="41"/>
    <x v="1"/>
    <s v="Soda Rasa Lemon"/>
    <n v="18"/>
    <n v="6000"/>
    <n v="3600"/>
    <n v="2400"/>
    <n v="108000"/>
    <n v="104400"/>
    <x v="5"/>
    <x v="1"/>
  </r>
  <r>
    <x v="43"/>
    <x v="44"/>
    <x v="42"/>
    <x v="2"/>
    <s v="Tripod Kamera Mini"/>
    <n v="1"/>
    <n v="65000"/>
    <n v="39000"/>
    <n v="26000"/>
    <n v="65000"/>
    <n v="26000"/>
    <x v="10"/>
    <x v="2"/>
  </r>
  <r>
    <x v="44"/>
    <x v="45"/>
    <x v="16"/>
    <x v="3"/>
    <s v="Eyeliner Waterproof"/>
    <n v="2"/>
    <n v="45000"/>
    <n v="27000"/>
    <n v="18000"/>
    <n v="90000"/>
    <n v="63000"/>
    <x v="9"/>
    <x v="0"/>
  </r>
  <r>
    <x v="45"/>
    <x v="46"/>
    <x v="43"/>
    <x v="0"/>
    <s v="Saus Tomat Botol"/>
    <n v="7"/>
    <n v="14000"/>
    <n v="8400"/>
    <n v="5600"/>
    <n v="98000"/>
    <n v="89600"/>
    <x v="1"/>
    <x v="1"/>
  </r>
  <r>
    <x v="44"/>
    <x v="47"/>
    <x v="44"/>
    <x v="4"/>
    <s v="Rok Plisket Wanita"/>
    <n v="3"/>
    <n v="110000"/>
    <n v="66000"/>
    <n v="44000"/>
    <n v="330000"/>
    <n v="264000"/>
    <x v="6"/>
    <x v="0"/>
  </r>
  <r>
    <x v="46"/>
    <x v="48"/>
    <x v="45"/>
    <x v="5"/>
    <s v="Mainan Pasir Kinetik"/>
    <n v="4"/>
    <n v="35000"/>
    <n v="21000"/>
    <n v="14000"/>
    <n v="140000"/>
    <n v="119000"/>
    <x v="2"/>
    <x v="2"/>
  </r>
  <r>
    <x v="47"/>
    <x v="49"/>
    <x v="46"/>
    <x v="0"/>
    <s v="Kacang Panggang Kaleng"/>
    <n v="6"/>
    <n v="22000"/>
    <n v="13200"/>
    <n v="8800"/>
    <n v="132000"/>
    <n v="118800"/>
    <x v="7"/>
    <x v="0"/>
  </r>
  <r>
    <x v="48"/>
    <x v="50"/>
    <x v="47"/>
    <x v="1"/>
    <s v="Sari Kedelai Botol"/>
    <n v="10"/>
    <n v="12000"/>
    <n v="7200"/>
    <n v="4800"/>
    <n v="120000"/>
    <n v="112800"/>
    <x v="0"/>
    <x v="1"/>
  </r>
  <r>
    <x v="49"/>
    <x v="51"/>
    <x v="48"/>
    <x v="2"/>
    <s v="Power Strip 5 Lubang"/>
    <n v="1"/>
    <n v="40000"/>
    <n v="24000"/>
    <n v="16000"/>
    <n v="40000"/>
    <n v="16000"/>
    <x v="5"/>
    <x v="2"/>
  </r>
  <r>
    <x v="50"/>
    <x v="52"/>
    <x v="49"/>
    <x v="3"/>
    <s v="Hair Dryer Portable"/>
    <n v="1"/>
    <n v="150000"/>
    <n v="90000"/>
    <n v="60000"/>
    <n v="150000"/>
    <n v="60000"/>
    <x v="10"/>
    <x v="0"/>
  </r>
  <r>
    <x v="51"/>
    <x v="53"/>
    <x v="50"/>
    <x v="0"/>
    <s v="Mie Goreng Instan"/>
    <n v="25"/>
    <n v="3000"/>
    <n v="1800"/>
    <n v="1200"/>
    <n v="75000"/>
    <n v="73200"/>
    <x v="9"/>
    <x v="1"/>
  </r>
  <r>
    <x v="52"/>
    <x v="54"/>
    <x v="51"/>
    <x v="4"/>
    <s v="Jilbab Segi Empat Polos"/>
    <n v="15"/>
    <n v="35000"/>
    <n v="21000"/>
    <n v="14000"/>
    <n v="525000"/>
    <n v="504000"/>
    <x v="1"/>
    <x v="0"/>
  </r>
  <r>
    <x v="53"/>
    <x v="55"/>
    <x v="52"/>
    <x v="5"/>
    <s v="Skuter Anak Roda Tiga"/>
    <n v="1"/>
    <n v="250000"/>
    <n v="150000"/>
    <n v="100000"/>
    <n v="250000"/>
    <n v="100000"/>
    <x v="6"/>
    <x v="2"/>
  </r>
  <r>
    <x v="54"/>
    <x v="56"/>
    <x v="53"/>
    <x v="0"/>
    <s v="Rendang Instan Kaleng"/>
    <n v="3"/>
    <n v="45000"/>
    <n v="27000"/>
    <n v="18000"/>
    <n v="135000"/>
    <n v="108000"/>
    <x v="2"/>
    <x v="0"/>
  </r>
  <r>
    <x v="55"/>
    <x v="57"/>
    <x v="54"/>
    <x v="1"/>
    <s v="Teh Hijau Botol 350Ml"/>
    <n v="9"/>
    <n v="9000"/>
    <n v="5400"/>
    <n v="3600"/>
    <n v="81000"/>
    <n v="75600"/>
    <x v="4"/>
    <x v="1"/>
  </r>
  <r>
    <x v="55"/>
    <x v="58"/>
    <x v="55"/>
    <x v="2"/>
    <s v="Speaker Bluetooth Kecil"/>
    <n v="2"/>
    <n v="120000"/>
    <n v="72000"/>
    <n v="48000"/>
    <n v="240000"/>
    <n v="168000"/>
    <x v="11"/>
    <x v="2"/>
  </r>
  <r>
    <x v="56"/>
    <x v="59"/>
    <x v="56"/>
    <x v="3"/>
    <s v="Cat Kuku Warna Pastel"/>
    <n v="6"/>
    <n v="15000"/>
    <n v="9000"/>
    <n v="6000"/>
    <n v="90000"/>
    <n v="81000"/>
    <x v="5"/>
    <x v="0"/>
  </r>
  <r>
    <x v="57"/>
    <x v="60"/>
    <x v="57"/>
    <x v="0"/>
    <s v="Minyak Goreng 2L"/>
    <n v="5"/>
    <n v="38000"/>
    <n v="22800"/>
    <n v="15200"/>
    <n v="190000"/>
    <n v="167200"/>
    <x v="10"/>
    <x v="1"/>
  </r>
  <r>
    <x v="58"/>
    <x v="61"/>
    <x v="58"/>
    <x v="4"/>
    <s v="Topi Baseball Dewasa"/>
    <n v="10"/>
    <n v="45000"/>
    <n v="27000"/>
    <n v="18000"/>
    <n v="450000"/>
    <n v="423000"/>
    <x v="9"/>
    <x v="0"/>
  </r>
  <r>
    <x v="59"/>
    <x v="62"/>
    <x v="59"/>
    <x v="5"/>
    <s v="Lego Set Bangunan Kota"/>
    <n v="1"/>
    <n v="500000"/>
    <n v="300000"/>
    <n v="200000"/>
    <n v="500000"/>
    <n v="200000"/>
    <x v="1"/>
    <x v="2"/>
  </r>
  <r>
    <x v="60"/>
    <x v="63"/>
    <x v="60"/>
    <x v="0"/>
    <s v="Bumbu Instan Nasi Goreng"/>
    <n v="20"/>
    <n v="5000"/>
    <n v="3000"/>
    <n v="2000"/>
    <n v="100000"/>
    <n v="97000"/>
    <x v="6"/>
    <x v="0"/>
  </r>
  <r>
    <x v="61"/>
    <x v="64"/>
    <x v="61"/>
    <x v="1"/>
    <s v="Kopi Instan Sachet Pack"/>
    <n v="14"/>
    <n v="28000"/>
    <n v="16800"/>
    <n v="11200"/>
    <n v="392000"/>
    <n v="375200"/>
    <x v="2"/>
    <x v="1"/>
  </r>
  <r>
    <x v="13"/>
    <x v="65"/>
    <x v="62"/>
    <x v="2"/>
    <s v="Lampu Emergency Led"/>
    <n v="2"/>
    <n v="75000"/>
    <n v="45000"/>
    <n v="30000"/>
    <n v="150000"/>
    <n v="105000"/>
    <x v="7"/>
    <x v="2"/>
  </r>
  <r>
    <x v="62"/>
    <x v="66"/>
    <x v="63"/>
    <x v="3"/>
    <s v="Sabun Cuci Muka Pria"/>
    <n v="4"/>
    <n v="30000"/>
    <n v="18000"/>
    <n v="12000"/>
    <n v="120000"/>
    <n v="102000"/>
    <x v="0"/>
    <x v="0"/>
  </r>
  <r>
    <x v="63"/>
    <x v="67"/>
    <x v="64"/>
    <x v="0"/>
    <s v="Margarin Kemasan Kecil"/>
    <n v="8"/>
    <n v="16000"/>
    <n v="9600"/>
    <n v="6400"/>
    <n v="128000"/>
    <n v="118400"/>
    <x v="5"/>
    <x v="1"/>
  </r>
  <r>
    <x v="64"/>
    <x v="68"/>
    <x v="65"/>
    <x v="4"/>
    <s v="Kaus Kaki Sport"/>
    <n v="12"/>
    <n v="15000"/>
    <n v="9000"/>
    <n v="6000"/>
    <n v="180000"/>
    <n v="171000"/>
    <x v="10"/>
    <x v="0"/>
  </r>
  <r>
    <x v="65"/>
    <x v="69"/>
    <x v="66"/>
    <x v="5"/>
    <s v="Bola Kaki Standar"/>
    <n v="1"/>
    <n v="100000"/>
    <n v="60000"/>
    <n v="40000"/>
    <n v="100000"/>
    <n v="40000"/>
    <x v="9"/>
    <x v="2"/>
  </r>
  <r>
    <x v="66"/>
    <x v="70"/>
    <x v="67"/>
    <x v="0"/>
    <s v="Sosis Sapi Kemasan"/>
    <n v="6"/>
    <n v="22000"/>
    <n v="13200"/>
    <n v="8800"/>
    <n v="132000"/>
    <n v="118800"/>
    <x v="1"/>
    <x v="0"/>
  </r>
  <r>
    <x v="67"/>
    <x v="71"/>
    <x v="68"/>
    <x v="1"/>
    <s v="Sirup Rasa Mangga Botol"/>
    <n v="3"/>
    <n v="25000"/>
    <n v="15000"/>
    <n v="10000"/>
    <n v="75000"/>
    <n v="60000"/>
    <x v="6"/>
    <x v="1"/>
  </r>
  <r>
    <x v="68"/>
    <x v="72"/>
    <x v="69"/>
    <x v="2"/>
    <s v="Stabilizer Hp Genggam"/>
    <n v="1"/>
    <n v="180000"/>
    <n v="108000"/>
    <n v="72000"/>
    <n v="180000"/>
    <n v="72000"/>
    <x v="2"/>
    <x v="2"/>
  </r>
  <r>
    <x v="69"/>
    <x v="73"/>
    <x v="70"/>
    <x v="3"/>
    <s v="Toner Wajah Hydrating"/>
    <n v="2"/>
    <n v="65000"/>
    <n v="39000"/>
    <n v="26000"/>
    <n v="130000"/>
    <n v="91000"/>
    <x v="4"/>
    <x v="0"/>
  </r>
  <r>
    <x v="70"/>
    <x v="74"/>
    <x v="71"/>
    <x v="0"/>
    <s v="Teh Kotak 1 L"/>
    <n v="10"/>
    <n v="14000"/>
    <n v="8400"/>
    <n v="5600"/>
    <n v="140000"/>
    <n v="131600"/>
    <x v="11"/>
    <x v="1"/>
  </r>
  <r>
    <x v="71"/>
    <x v="75"/>
    <x v="72"/>
    <x v="4"/>
    <s v="Tas Ransel Laptop"/>
    <n v="1"/>
    <n v="250000"/>
    <n v="150000"/>
    <n v="100000"/>
    <n v="250000"/>
    <n v="100000"/>
    <x v="5"/>
    <x v="0"/>
  </r>
  <r>
    <x v="72"/>
    <x v="76"/>
    <x v="73"/>
    <x v="5"/>
    <s v="Drone Mini Kamera Hd"/>
    <n v="1"/>
    <n v="550000"/>
    <n v="330000"/>
    <n v="220000"/>
    <n v="550000"/>
    <n v="220000"/>
    <x v="10"/>
    <x v="2"/>
  </r>
  <r>
    <x v="73"/>
    <x v="77"/>
    <x v="74"/>
    <x v="0"/>
    <s v="Es Krim Cup Kecil"/>
    <n v="15"/>
    <n v="8000"/>
    <n v="4800"/>
    <n v="3200"/>
    <n v="120000"/>
    <n v="115200"/>
    <x v="9"/>
    <x v="0"/>
  </r>
  <r>
    <x v="74"/>
    <x v="78"/>
    <x v="75"/>
    <x v="1"/>
    <s v="Coklat Panas Sachet"/>
    <n v="20"/>
    <n v="5000"/>
    <n v="3000"/>
    <n v="2000"/>
    <n v="100000"/>
    <n v="97000"/>
    <x v="1"/>
    <x v="1"/>
  </r>
  <r>
    <x v="75"/>
    <x v="79"/>
    <x v="76"/>
    <x v="2"/>
    <s v="Smartwatch Fitness"/>
    <n v="1"/>
    <n v="300000"/>
    <n v="180000"/>
    <n v="120000"/>
    <n v="300000"/>
    <n v="120000"/>
    <x v="6"/>
    <x v="2"/>
  </r>
  <r>
    <x v="76"/>
    <x v="80"/>
    <x v="77"/>
    <x v="3"/>
    <s v="Serum Rambut Anti Frizz"/>
    <n v="3"/>
    <n v="80000"/>
    <n v="48000"/>
    <n v="32000"/>
    <n v="240000"/>
    <n v="192000"/>
    <x v="2"/>
    <x v="0"/>
  </r>
  <r>
    <x v="77"/>
    <x v="81"/>
    <x v="78"/>
    <x v="0"/>
    <s v="Biji Kopi Arabika"/>
    <n v="7"/>
    <n v="75000"/>
    <n v="45000"/>
    <n v="30000"/>
    <n v="525000"/>
    <n v="480000"/>
    <x v="7"/>
    <x v="1"/>
  </r>
  <r>
    <x v="78"/>
    <x v="82"/>
    <x v="79"/>
    <x v="4"/>
    <s v="Jas Hujan Dewasa"/>
    <n v="2"/>
    <n v="150000"/>
    <n v="90000"/>
    <n v="60000"/>
    <n v="300000"/>
    <n v="210000"/>
    <x v="0"/>
    <x v="0"/>
  </r>
  <r>
    <x v="79"/>
    <x v="83"/>
    <x v="80"/>
    <x v="5"/>
    <s v="Action Figure Karakter"/>
    <n v="5"/>
    <n v="40000"/>
    <n v="24000"/>
    <n v="16000"/>
    <n v="200000"/>
    <n v="176000"/>
    <x v="5"/>
    <x v="2"/>
  </r>
  <r>
    <x v="80"/>
    <x v="84"/>
    <x v="81"/>
    <x v="0"/>
    <s v="Pasta Gigi Herbal Besar"/>
    <n v="8"/>
    <n v="14000"/>
    <n v="8400"/>
    <n v="5600"/>
    <n v="112000"/>
    <n v="103600"/>
    <x v="10"/>
    <x v="0"/>
  </r>
  <r>
    <x v="81"/>
    <x v="85"/>
    <x v="82"/>
    <x v="1"/>
    <s v="Air Soda Kaleng Import"/>
    <n v="10"/>
    <n v="18000"/>
    <n v="10800"/>
    <n v="7200"/>
    <n v="180000"/>
    <n v="169200"/>
    <x v="9"/>
    <x v="1"/>
  </r>
  <r>
    <x v="82"/>
    <x v="86"/>
    <x v="83"/>
    <x v="2"/>
    <s v="Keyboard Gaming Mekanik"/>
    <n v="1"/>
    <n v="700000"/>
    <n v="420000"/>
    <n v="280000"/>
    <n v="700000"/>
    <n v="280000"/>
    <x v="1"/>
    <x v="2"/>
  </r>
  <r>
    <x v="83"/>
    <x v="87"/>
    <x v="84"/>
    <x v="3"/>
    <s v="Cream Pemutih Badan"/>
    <n v="4"/>
    <n v="55000"/>
    <n v="33000"/>
    <n v="22000"/>
    <n v="220000"/>
    <n v="187000"/>
    <x v="6"/>
    <x v="0"/>
  </r>
  <r>
    <x v="84"/>
    <x v="88"/>
    <x v="85"/>
    <x v="0"/>
    <s v="Telur Ayam Kampung Pack"/>
    <n v="11"/>
    <n v="35000"/>
    <n v="21000"/>
    <n v="14000"/>
    <n v="385000"/>
    <n v="364000"/>
    <x v="2"/>
    <x v="1"/>
  </r>
  <r>
    <x v="85"/>
    <x v="89"/>
    <x v="86"/>
    <x v="4"/>
    <s v="Blouse Wanita Motif Bunga"/>
    <n v="4"/>
    <n v="130000"/>
    <n v="78000"/>
    <n v="52000"/>
    <n v="520000"/>
    <n v="442000"/>
    <x v="4"/>
    <x v="0"/>
  </r>
  <r>
    <x v="86"/>
    <x v="90"/>
    <x v="87"/>
    <x v="5"/>
    <s v="Pistol Air Mainan Besar"/>
    <n v="3"/>
    <n v="45000"/>
    <n v="27000"/>
    <n v="18000"/>
    <n v="135000"/>
    <n v="108000"/>
    <x v="11"/>
    <x v="2"/>
  </r>
  <r>
    <x v="87"/>
    <x v="91"/>
    <x v="88"/>
    <x v="0"/>
    <s v="Cuka Dapur Botol"/>
    <n v="7"/>
    <n v="9000"/>
    <n v="5400"/>
    <n v="3600"/>
    <n v="63000"/>
    <n v="57600"/>
    <x v="5"/>
    <x v="0"/>
  </r>
  <r>
    <x v="88"/>
    <x v="92"/>
    <x v="89"/>
    <x v="1"/>
    <s v="Es Kopi Susu Kemasan"/>
    <n v="12"/>
    <n v="11000"/>
    <n v="6600"/>
    <n v="4400"/>
    <n v="132000"/>
    <n v="125400"/>
    <x v="10"/>
    <x v="1"/>
  </r>
  <r>
    <x v="89"/>
    <x v="93"/>
    <x v="90"/>
    <x v="2"/>
    <s v="Kipas Angin Portable"/>
    <n v="2"/>
    <n v="90000"/>
    <n v="54000"/>
    <n v="36000"/>
    <n v="180000"/>
    <n v="126000"/>
    <x v="9"/>
    <x v="2"/>
  </r>
  <r>
    <x v="90"/>
    <x v="94"/>
    <x v="91"/>
    <x v="3"/>
    <s v="Kutek Warna Gel"/>
    <n v="5"/>
    <n v="20000"/>
    <n v="12000"/>
    <n v="8000"/>
    <n v="100000"/>
    <n v="88000"/>
    <x v="1"/>
    <x v="0"/>
  </r>
  <r>
    <x v="91"/>
    <x v="95"/>
    <x v="92"/>
    <x v="0"/>
    <s v="Roti Isi Daging"/>
    <n v="9"/>
    <n v="15000"/>
    <n v="9000"/>
    <n v="6000"/>
    <n v="135000"/>
    <n v="126000"/>
    <x v="6"/>
    <x v="1"/>
  </r>
  <r>
    <x v="92"/>
    <x v="96"/>
    <x v="93"/>
    <x v="4"/>
    <s v="Kacamata Hitam Fashion"/>
    <n v="1"/>
    <n v="75000"/>
    <n v="45000"/>
    <n v="30000"/>
    <n v="75000"/>
    <n v="30000"/>
    <x v="2"/>
    <x v="0"/>
  </r>
  <r>
    <x v="93"/>
    <x v="97"/>
    <x v="94"/>
    <x v="5"/>
    <s v="Set Alat Dokter Mainan"/>
    <n v="2"/>
    <n v="80000"/>
    <n v="48000"/>
    <n v="32000"/>
    <n v="160000"/>
    <n v="112000"/>
    <x v="4"/>
    <x v="2"/>
  </r>
  <r>
    <x v="94"/>
    <x v="98"/>
    <x v="95"/>
    <x v="0"/>
    <s v="Kerupuk Ikan Premium"/>
    <n v="10"/>
    <n v="16000"/>
    <n v="9600"/>
    <n v="6400"/>
    <n v="160000"/>
    <n v="150400"/>
    <x v="11"/>
    <x v="0"/>
  </r>
  <r>
    <x v="95"/>
    <x v="99"/>
    <x v="96"/>
    <x v="1"/>
    <s v="Air Kelapa Murni Botol"/>
    <n v="4"/>
    <n v="18000"/>
    <n v="10800"/>
    <n v="7200"/>
    <n v="72000"/>
    <n v="61200"/>
    <x v="5"/>
    <x v="1"/>
  </r>
  <r>
    <x v="63"/>
    <x v="100"/>
    <x v="97"/>
    <x v="2"/>
    <s v="Adaptor Charger Hp Fast Charging"/>
    <n v="3"/>
    <n v="120000"/>
    <n v="72000"/>
    <n v="48000"/>
    <n v="360000"/>
    <n v="288000"/>
    <x v="10"/>
    <x v="2"/>
  </r>
  <r>
    <x v="96"/>
    <x v="101"/>
    <x v="98"/>
    <x v="3"/>
    <s v="Lotion Anti Nyamuk"/>
    <n v="8"/>
    <n v="11000"/>
    <n v="6600"/>
    <n v="4400"/>
    <n v="88000"/>
    <n v="81400"/>
    <x v="9"/>
    <x v="0"/>
  </r>
  <r>
    <x v="97"/>
    <x v="102"/>
    <x v="99"/>
    <x v="0"/>
    <s v="Bawang Putih 1 Kg"/>
    <n v="5"/>
    <n v="28000"/>
    <n v="16800"/>
    <n v="11200"/>
    <n v="140000"/>
    <n v="123200"/>
    <x v="1"/>
    <x v="1"/>
  </r>
  <r>
    <x v="98"/>
    <x v="103"/>
    <x v="100"/>
    <x v="4"/>
    <s v="Sabuk Kulit Pria"/>
    <n v="1"/>
    <n v="90000"/>
    <n v="54000"/>
    <n v="36000"/>
    <n v="90000"/>
    <n v="36000"/>
    <x v="6"/>
    <x v="0"/>
  </r>
  <r>
    <x v="99"/>
    <x v="104"/>
    <x v="101"/>
    <x v="5"/>
    <s v="Mainan Balok Susun Kayu"/>
    <n v="6"/>
    <n v="50000"/>
    <n v="30000"/>
    <n v="20000"/>
    <n v="300000"/>
    <n v="270000"/>
    <x v="2"/>
    <x v="2"/>
  </r>
  <r>
    <x v="100"/>
    <x v="105"/>
    <x v="102"/>
    <x v="0"/>
    <s v="Daging Sapi Beku 500G"/>
    <n v="2"/>
    <n v="85000"/>
    <n v="51000"/>
    <n v="34000"/>
    <n v="170000"/>
    <n v="119000"/>
    <x v="7"/>
    <x v="0"/>
  </r>
  <r>
    <x v="101"/>
    <x v="106"/>
    <x v="103"/>
    <x v="1"/>
    <s v="Susu Bubuk Bayi Kotak"/>
    <n v="1"/>
    <n v="150000"/>
    <n v="90000"/>
    <n v="60000"/>
    <n v="150000"/>
    <n v="60000"/>
    <x v="0"/>
    <x v="1"/>
  </r>
  <r>
    <x v="30"/>
    <x v="107"/>
    <x v="104"/>
    <x v="2"/>
    <s v="Power Bank Mini 5000Mah"/>
    <n v="3"/>
    <n v="80000"/>
    <n v="48000"/>
    <n v="32000"/>
    <n v="240000"/>
    <n v="192000"/>
    <x v="5"/>
    <x v="2"/>
  </r>
  <r>
    <x v="102"/>
    <x v="108"/>
    <x v="105"/>
    <x v="3"/>
    <s v="Cermin Rias Led"/>
    <n v="1"/>
    <n v="95000"/>
    <n v="57000"/>
    <n v="38000"/>
    <n v="95000"/>
    <n v="38000"/>
    <x v="10"/>
    <x v="0"/>
  </r>
  <r>
    <x v="103"/>
    <x v="109"/>
    <x v="106"/>
    <x v="0"/>
    <s v="Selai Kacang 300G"/>
    <n v="4"/>
    <n v="21000"/>
    <n v="12600"/>
    <n v="8400"/>
    <n v="84000"/>
    <n v="71400"/>
    <x v="9"/>
    <x v="1"/>
  </r>
  <r>
    <x v="104"/>
    <x v="110"/>
    <x v="107"/>
    <x v="4"/>
    <s v="Sarung Tenun Motif"/>
    <n v="5"/>
    <n v="65000"/>
    <n v="39000"/>
    <n v="26000"/>
    <n v="325000"/>
    <n v="286000"/>
    <x v="1"/>
    <x v="0"/>
  </r>
  <r>
    <x v="105"/>
    <x v="111"/>
    <x v="108"/>
    <x v="5"/>
    <s v="Papan Tulis Magnet Anak"/>
    <n v="2"/>
    <n v="110000"/>
    <n v="66000"/>
    <n v="44000"/>
    <n v="220000"/>
    <n v="154000"/>
    <x v="6"/>
    <x v="2"/>
  </r>
  <r>
    <x v="28"/>
    <x v="112"/>
    <x v="109"/>
    <x v="0"/>
    <s v="Sayur Mayur Segar Pack"/>
    <n v="10"/>
    <n v="15000"/>
    <n v="9000"/>
    <n v="6000"/>
    <n v="150000"/>
    <n v="141000"/>
    <x v="2"/>
    <x v="0"/>
  </r>
  <r>
    <x v="106"/>
    <x v="113"/>
    <x v="110"/>
    <x v="1"/>
    <s v="Air Galon Isi Ulang"/>
    <n v="1"/>
    <n v="20000"/>
    <n v="12000"/>
    <n v="8000"/>
    <n v="20000"/>
    <n v="8000"/>
    <x v="4"/>
    <x v="1"/>
  </r>
  <r>
    <x v="107"/>
    <x v="114"/>
    <x v="111"/>
    <x v="2"/>
    <s v="Alarm Anti Maling Jendela"/>
    <n v="1"/>
    <n v="50000"/>
    <n v="30000"/>
    <n v="20000"/>
    <n v="50000"/>
    <n v="20000"/>
    <x v="11"/>
    <x v="2"/>
  </r>
  <r>
    <x v="108"/>
    <x v="115"/>
    <x v="112"/>
    <x v="3"/>
    <s v="Sabun Pembersih Tangan"/>
    <n v="15"/>
    <n v="8000"/>
    <n v="4800"/>
    <n v="3200"/>
    <n v="120000"/>
    <n v="115200"/>
    <x v="5"/>
    <x v="0"/>
  </r>
  <r>
    <x v="109"/>
    <x v="116"/>
    <x v="113"/>
    <x v="0"/>
    <s v="Bahan Kue Pack"/>
    <n v="6"/>
    <n v="24000"/>
    <n v="14400"/>
    <n v="9600"/>
    <n v="144000"/>
    <n v="129600"/>
    <x v="10"/>
    <x v="1"/>
  </r>
  <r>
    <x v="77"/>
    <x v="117"/>
    <x v="114"/>
    <x v="4"/>
    <s v="Kain Batik Cap Meteran"/>
    <n v="2"/>
    <n v="180000"/>
    <n v="108000"/>
    <n v="72000"/>
    <n v="360000"/>
    <n v="252000"/>
    <x v="9"/>
    <x v="0"/>
  </r>
  <r>
    <x v="110"/>
    <x v="118"/>
    <x v="115"/>
    <x v="5"/>
    <s v="Sepeda Roda Empat Anak"/>
    <n v="1"/>
    <n v="450000"/>
    <n v="270000"/>
    <n v="180000"/>
    <n v="450000"/>
    <n v="180000"/>
    <x v="1"/>
    <x v="2"/>
  </r>
  <r>
    <x v="111"/>
    <x v="119"/>
    <x v="116"/>
    <x v="0"/>
    <s v="Sarden Kaleng Pedas"/>
    <n v="5"/>
    <n v="19000"/>
    <n v="11400"/>
    <n v="7600"/>
    <n v="95000"/>
    <n v="83600"/>
    <x v="6"/>
    <x v="0"/>
  </r>
  <r>
    <x v="112"/>
    <x v="120"/>
    <x v="117"/>
    <x v="1"/>
    <s v="Wedang Jahe Instan Sachet"/>
    <n v="8"/>
    <n v="15000"/>
    <n v="9000"/>
    <n v="6000"/>
    <n v="120000"/>
    <n v="111000"/>
    <x v="2"/>
    <x v="1"/>
  </r>
  <r>
    <x v="113"/>
    <x v="121"/>
    <x v="118"/>
    <x v="2"/>
    <s v="Vacuum Cleaner Mini Usb"/>
    <n v="1"/>
    <n v="100000"/>
    <n v="60000"/>
    <n v="40000"/>
    <n v="100000"/>
    <n v="40000"/>
    <x v="7"/>
    <x v="2"/>
  </r>
  <r>
    <x v="114"/>
    <x v="122"/>
    <x v="119"/>
    <x v="3"/>
    <s v="Sampo Kuda 500Ml"/>
    <n v="2"/>
    <n v="70000"/>
    <n v="42000"/>
    <n v="28000"/>
    <n v="140000"/>
    <n v="98000"/>
    <x v="0"/>
    <x v="0"/>
  </r>
  <r>
    <x v="115"/>
    <x v="123"/>
    <x v="120"/>
    <x v="0"/>
    <s v="Roti Gandum Utuh"/>
    <n v="3"/>
    <n v="25000"/>
    <n v="15000"/>
    <n v="10000"/>
    <n v="75000"/>
    <n v="60000"/>
    <x v="5"/>
    <x v="1"/>
  </r>
  <r>
    <x v="116"/>
    <x v="124"/>
    <x v="121"/>
    <x v="4"/>
    <s v="Piyama Katun Dewasa"/>
    <n v="4"/>
    <n v="85000"/>
    <n v="51000"/>
    <n v="34000"/>
    <n v="340000"/>
    <n v="289000"/>
    <x v="10"/>
    <x v="0"/>
  </r>
  <r>
    <x v="117"/>
    <x v="125"/>
    <x v="122"/>
    <x v="5"/>
    <s v="Play Dough Set Komplit"/>
    <n v="10"/>
    <n v="25000"/>
    <n v="15000"/>
    <n v="10000"/>
    <n v="250000"/>
    <n v="235000"/>
    <x v="9"/>
    <x v="2"/>
  </r>
  <r>
    <x v="56"/>
    <x v="126"/>
    <x v="50"/>
    <x v="0"/>
    <s v="Kecap Manis Botol Besar"/>
    <n v="1"/>
    <n v="30000"/>
    <n v="18000"/>
    <n v="12000"/>
    <n v="30000"/>
    <n v="12000"/>
    <x v="1"/>
    <x v="0"/>
  </r>
  <r>
    <x v="118"/>
    <x v="127"/>
    <x v="123"/>
    <x v="1"/>
    <s v="Cincau Hitam Kaleng"/>
    <n v="15"/>
    <n v="6000"/>
    <n v="3600"/>
    <n v="2400"/>
    <n v="90000"/>
    <n v="86400"/>
    <x v="6"/>
    <x v="1"/>
  </r>
  <r>
    <x v="37"/>
    <x v="128"/>
    <x v="124"/>
    <x v="2"/>
    <s v="Lampu Sorot Led Outdoor"/>
    <n v="1"/>
    <n v="250000"/>
    <n v="150000"/>
    <n v="100000"/>
    <n v="250000"/>
    <n v="100000"/>
    <x v="2"/>
    <x v="2"/>
  </r>
  <r>
    <x v="119"/>
    <x v="129"/>
    <x v="125"/>
    <x v="3"/>
    <s v="Handbody Pemutih"/>
    <n v="3"/>
    <n v="40000"/>
    <n v="24000"/>
    <n v="16000"/>
    <n v="120000"/>
    <n v="96000"/>
    <x v="4"/>
    <x v="0"/>
  </r>
  <r>
    <x v="120"/>
    <x v="130"/>
    <x v="126"/>
    <x v="0"/>
    <s v="Keripik Singkong Pedas"/>
    <n v="7"/>
    <n v="10000"/>
    <n v="6000"/>
    <n v="4000"/>
    <n v="70000"/>
    <n v="64000"/>
    <x v="11"/>
    <x v="1"/>
  </r>
  <r>
    <x v="60"/>
    <x v="131"/>
    <x v="127"/>
    <x v="4"/>
    <s v="Sepatu Pantofel Kulit"/>
    <n v="1"/>
    <n v="750000"/>
    <n v="450000"/>
    <n v="300000"/>
    <n v="750000"/>
    <n v="300000"/>
    <x v="5"/>
    <x v="0"/>
  </r>
  <r>
    <x v="121"/>
    <x v="132"/>
    <x v="128"/>
    <x v="5"/>
    <s v="Puzzle 3D Kayu"/>
    <n v="4"/>
    <n v="65000"/>
    <n v="39000"/>
    <n v="26000"/>
    <n v="260000"/>
    <n v="221000"/>
    <x v="10"/>
    <x v="2"/>
  </r>
  <r>
    <x v="122"/>
    <x v="133"/>
    <x v="129"/>
    <x v="0"/>
    <s v="Permen Rasa Buah Mix"/>
    <n v="20"/>
    <n v="4000"/>
    <n v="2400"/>
    <n v="1600"/>
    <n v="80000"/>
    <n v="77600"/>
    <x v="9"/>
    <x v="0"/>
  </r>
  <r>
    <x v="123"/>
    <x v="134"/>
    <x v="130"/>
    <x v="1"/>
    <s v="Smoothie Buah Kemasan"/>
    <n v="5"/>
    <n v="22000"/>
    <n v="13200"/>
    <n v="8800"/>
    <n v="110000"/>
    <n v="96800"/>
    <x v="1"/>
    <x v="1"/>
  </r>
  <r>
    <x v="124"/>
    <x v="135"/>
    <x v="131"/>
    <x v="2"/>
    <s v="Charger Mobil Dual Usb"/>
    <n v="2"/>
    <n v="55000"/>
    <n v="33000"/>
    <n v="22000"/>
    <n v="110000"/>
    <n v="77000"/>
    <x v="6"/>
    <x v="2"/>
  </r>
  <r>
    <x v="125"/>
    <x v="136"/>
    <x v="132"/>
    <x v="3"/>
    <s v="Sisir Rambut Ion"/>
    <n v="1"/>
    <n v="60000"/>
    <n v="36000"/>
    <n v="24000"/>
    <n v="60000"/>
    <n v="24000"/>
    <x v="2"/>
    <x v="0"/>
  </r>
  <r>
    <x v="23"/>
    <x v="137"/>
    <x v="133"/>
    <x v="0"/>
    <s v="Bahan Roti Premium"/>
    <n v="3"/>
    <n v="50000"/>
    <n v="30000"/>
    <n v="20000"/>
    <n v="150000"/>
    <n v="120000"/>
    <x v="7"/>
    <x v="1"/>
  </r>
  <r>
    <x v="126"/>
    <x v="138"/>
    <x v="134"/>
    <x v="4"/>
    <s v="Jam Tangan Digital Sport"/>
    <n v="1"/>
    <n v="180000"/>
    <n v="108000"/>
    <n v="72000"/>
    <n v="180000"/>
    <n v="72000"/>
    <x v="0"/>
    <x v="0"/>
  </r>
  <r>
    <x v="127"/>
    <x v="139"/>
    <x v="135"/>
    <x v="5"/>
    <s v="Robot Mainan Transformer"/>
    <n v="1"/>
    <n v="150000"/>
    <n v="90000"/>
    <n v="60000"/>
    <n v="150000"/>
    <n v="60000"/>
    <x v="5"/>
    <x v="2"/>
  </r>
  <r>
    <x v="128"/>
    <x v="140"/>
    <x v="136"/>
    <x v="0"/>
    <s v="Garam Meja Beryodium"/>
    <n v="10"/>
    <n v="3000"/>
    <n v="1800"/>
    <n v="1200"/>
    <n v="30000"/>
    <n v="28200"/>
    <x v="10"/>
    <x v="0"/>
  </r>
  <r>
    <x v="129"/>
    <x v="141"/>
    <x v="137"/>
    <x v="1"/>
    <s v="Susu Bubuk Coklat Kotak"/>
    <n v="2"/>
    <n v="40000"/>
    <n v="24000"/>
    <n v="16000"/>
    <n v="80000"/>
    <n v="56000"/>
    <x v="9"/>
    <x v="1"/>
  </r>
  <r>
    <x v="130"/>
    <x v="142"/>
    <x v="138"/>
    <x v="2"/>
    <s v="Power Supply Komputer"/>
    <n v="1"/>
    <n v="450000"/>
    <n v="270000"/>
    <n v="180000"/>
    <n v="450000"/>
    <n v="180000"/>
    <x v="1"/>
    <x v="2"/>
  </r>
  <r>
    <x v="125"/>
    <x v="143"/>
    <x v="139"/>
    <x v="3"/>
    <s v="Body Scrub Aromaterapi"/>
    <n v="3"/>
    <n v="35000"/>
    <n v="21000"/>
    <n v="14000"/>
    <n v="105000"/>
    <n v="84000"/>
    <x v="6"/>
    <x v="0"/>
  </r>
  <r>
    <x v="131"/>
    <x v="144"/>
    <x v="140"/>
    <x v="0"/>
    <s v="Coklat Bubuk Murni"/>
    <n v="5"/>
    <n v="28000"/>
    <n v="16800"/>
    <n v="11200"/>
    <n v="140000"/>
    <n v="123200"/>
    <x v="2"/>
    <x v="1"/>
  </r>
  <r>
    <x v="132"/>
    <x v="145"/>
    <x v="141"/>
    <x v="4"/>
    <s v="Jaket Gunung Anti Air"/>
    <n v="1"/>
    <n v="600000"/>
    <n v="360000"/>
    <n v="240000"/>
    <n v="600000"/>
    <n v="240000"/>
    <x v="4"/>
    <x v="0"/>
  </r>
  <r>
    <x v="133"/>
    <x v="146"/>
    <x v="142"/>
    <x v="5"/>
    <s v="Papan Dart Magnetik"/>
    <n v="2"/>
    <n v="70000"/>
    <n v="42000"/>
    <n v="28000"/>
    <n v="140000"/>
    <n v="98000"/>
    <x v="11"/>
    <x v="2"/>
  </r>
  <r>
    <x v="134"/>
    <x v="147"/>
    <x v="143"/>
    <x v="0"/>
    <s v="Permen Karet Mint"/>
    <n v="18"/>
    <n v="5000"/>
    <n v="3000"/>
    <n v="2000"/>
    <n v="90000"/>
    <n v="87000"/>
    <x v="5"/>
    <x v="0"/>
  </r>
  <r>
    <x v="135"/>
    <x v="148"/>
    <x v="144"/>
    <x v="1"/>
    <s v="Air Minum Berkarbonasi"/>
    <n v="8"/>
    <n v="11000"/>
    <n v="6600"/>
    <n v="4400"/>
    <n v="88000"/>
    <n v="81400"/>
    <x v="10"/>
    <x v="1"/>
  </r>
  <r>
    <x v="93"/>
    <x v="149"/>
    <x v="145"/>
    <x v="2"/>
    <s v="Kamera Cctv Indoor"/>
    <n v="1"/>
    <n v="250000"/>
    <n v="150000"/>
    <n v="100000"/>
    <n v="250000"/>
    <n v="100000"/>
    <x v="9"/>
    <x v="2"/>
  </r>
  <r>
    <x v="136"/>
    <x v="150"/>
    <x v="146"/>
    <x v="3"/>
    <s v="Alat Pengeriting Rambut"/>
    <n v="1"/>
    <n v="120000"/>
    <n v="72000"/>
    <n v="48000"/>
    <n v="120000"/>
    <n v="48000"/>
    <x v="1"/>
    <x v="0"/>
  </r>
  <r>
    <x v="137"/>
    <x v="151"/>
    <x v="147"/>
    <x v="0"/>
    <s v="Beras Premium 5 Kg"/>
    <n v="5"/>
    <n v="75000"/>
    <n v="45000"/>
    <n v="30000"/>
    <n v="375000"/>
    <n v="330000"/>
    <x v="6"/>
    <x v="1"/>
  </r>
  <r>
    <x v="138"/>
    <x v="152"/>
    <x v="148"/>
    <x v="4"/>
    <s v="Kain Katun Jepang Meteran"/>
    <n v="3"/>
    <n v="90000"/>
    <n v="54000"/>
    <n v="36000"/>
    <n v="270000"/>
    <n v="216000"/>
    <x v="2"/>
    <x v="0"/>
  </r>
  <r>
    <x v="139"/>
    <x v="153"/>
    <x v="149"/>
    <x v="5"/>
    <s v="Pesawat Terbang Mainan"/>
    <n v="4"/>
    <n v="40000"/>
    <n v="24000"/>
    <n v="16000"/>
    <n v="160000"/>
    <n v="136000"/>
    <x v="4"/>
    <x v="2"/>
  </r>
  <r>
    <x v="140"/>
    <x v="154"/>
    <x v="150"/>
    <x v="0"/>
    <s v="Susu Kental Manis Kaleng"/>
    <n v="10"/>
    <n v="14000"/>
    <n v="8400"/>
    <n v="5600"/>
    <n v="140000"/>
    <n v="131600"/>
    <x v="11"/>
    <x v="0"/>
  </r>
  <r>
    <x v="141"/>
    <x v="155"/>
    <x v="151"/>
    <x v="1"/>
    <s v="Kopi Hitam Instan Sachet"/>
    <n v="25"/>
    <n v="3000"/>
    <n v="1800"/>
    <n v="1200"/>
    <n v="75000"/>
    <n v="73200"/>
    <x v="5"/>
    <x v="1"/>
  </r>
  <r>
    <x v="142"/>
    <x v="156"/>
    <x v="152"/>
    <x v="2"/>
    <s v="Speaker Portabel Waterproof"/>
    <n v="2"/>
    <n v="200000"/>
    <n v="120000"/>
    <n v="80000"/>
    <n v="400000"/>
    <n v="280000"/>
    <x v="10"/>
    <x v="2"/>
  </r>
  <r>
    <x v="143"/>
    <x v="157"/>
    <x v="22"/>
    <x v="3"/>
    <s v="Sunscreen Spf 50+"/>
    <n v="3"/>
    <n v="95000"/>
    <n v="57000"/>
    <n v="38000"/>
    <n v="285000"/>
    <n v="228000"/>
    <x v="9"/>
    <x v="0"/>
  </r>
  <r>
    <x v="144"/>
    <x v="158"/>
    <x v="153"/>
    <x v="0"/>
    <s v="Mi Instan Kuah Pedas"/>
    <n v="8"/>
    <n v="3500"/>
    <n v="2100"/>
    <n v="1400"/>
    <n v="28000"/>
    <n v="25900"/>
    <x v="1"/>
    <x v="1"/>
  </r>
  <r>
    <x v="145"/>
    <x v="159"/>
    <x v="31"/>
    <x v="4"/>
    <s v="Topi Fedora Klasik"/>
    <n v="1"/>
    <n v="60000"/>
    <n v="36000"/>
    <n v="24000"/>
    <n v="60000"/>
    <n v="24000"/>
    <x v="6"/>
    <x v="0"/>
  </r>
  <r>
    <x v="146"/>
    <x v="160"/>
    <x v="154"/>
    <x v="5"/>
    <s v="Set Mainan Pertukangan"/>
    <n v="5"/>
    <n v="75000"/>
    <n v="45000"/>
    <n v="30000"/>
    <n v="375000"/>
    <n v="330000"/>
    <x v="2"/>
    <x v="2"/>
  </r>
  <r>
    <x v="147"/>
    <x v="161"/>
    <x v="155"/>
    <x v="0"/>
    <s v="Permen Mint Kaleng"/>
    <n v="10"/>
    <n v="12000"/>
    <n v="7200"/>
    <n v="4800"/>
    <n v="120000"/>
    <n v="112800"/>
    <x v="7"/>
    <x v="0"/>
  </r>
  <r>
    <x v="148"/>
    <x v="162"/>
    <x v="156"/>
    <x v="1"/>
    <s v="Teh Botol 450Ml"/>
    <n v="15"/>
    <n v="7000"/>
    <n v="4200"/>
    <n v="2800"/>
    <n v="105000"/>
    <n v="100800"/>
    <x v="0"/>
    <x v="1"/>
  </r>
  <r>
    <x v="149"/>
    <x v="163"/>
    <x v="157"/>
    <x v="2"/>
    <s v="Smart Plug Wifi"/>
    <n v="4"/>
    <n v="45000"/>
    <n v="27000"/>
    <n v="18000"/>
    <n v="180000"/>
    <n v="153000"/>
    <x v="5"/>
    <x v="2"/>
  </r>
  <r>
    <x v="150"/>
    <x v="164"/>
    <x v="158"/>
    <x v="3"/>
    <s v="Pencuci Muka Charcoal"/>
    <n v="2"/>
    <n v="38000"/>
    <n v="22800"/>
    <n v="15200"/>
    <n v="76000"/>
    <n v="53200"/>
    <x v="10"/>
    <x v="0"/>
  </r>
  <r>
    <x v="151"/>
    <x v="165"/>
    <x v="159"/>
    <x v="0"/>
    <s v="Gula Merah Batok"/>
    <n v="6"/>
    <n v="20000"/>
    <n v="12000"/>
    <n v="8000"/>
    <n v="120000"/>
    <n v="108000"/>
    <x v="9"/>
    <x v="1"/>
  </r>
  <r>
    <x v="152"/>
    <x v="166"/>
    <x v="160"/>
    <x v="4"/>
    <s v="Syall Motif Etnik"/>
    <n v="3"/>
    <n v="50000"/>
    <n v="30000"/>
    <n v="20000"/>
    <n v="150000"/>
    <n v="120000"/>
    <x v="1"/>
    <x v="0"/>
  </r>
  <r>
    <x v="153"/>
    <x v="167"/>
    <x v="161"/>
    <x v="5"/>
    <s v="Mobil Remote Control Balap"/>
    <n v="1"/>
    <n v="175000"/>
    <n v="105000"/>
    <n v="70000"/>
    <n v="175000"/>
    <n v="70000"/>
    <x v="6"/>
    <x v="2"/>
  </r>
  <r>
    <x v="154"/>
    <x v="168"/>
    <x v="162"/>
    <x v="0"/>
    <s v="Sambal Botol Pedas"/>
    <n v="4"/>
    <n v="18000"/>
    <n v="10800"/>
    <n v="7200"/>
    <n v="72000"/>
    <n v="61200"/>
    <x v="2"/>
    <x v="0"/>
  </r>
  <r>
    <x v="155"/>
    <x v="169"/>
    <x v="163"/>
    <x v="1"/>
    <s v="Air Soda Rasa Buah"/>
    <n v="10"/>
    <n v="9000"/>
    <n v="5400"/>
    <n v="3600"/>
    <n v="90000"/>
    <n v="84600"/>
    <x v="4"/>
    <x v="1"/>
  </r>
  <r>
    <x v="156"/>
    <x v="170"/>
    <x v="164"/>
    <x v="2"/>
    <s v="Lampu Belajar Led Fleksibel"/>
    <n v="3"/>
    <n v="40000"/>
    <n v="24000"/>
    <n v="16000"/>
    <n v="120000"/>
    <n v="96000"/>
    <x v="11"/>
    <x v="2"/>
  </r>
  <r>
    <x v="157"/>
    <x v="171"/>
    <x v="165"/>
    <x v="3"/>
    <s v="Lip Balm Pelembab"/>
    <n v="12"/>
    <n v="10000"/>
    <n v="6000"/>
    <n v="4000"/>
    <n v="120000"/>
    <n v="114000"/>
    <x v="5"/>
    <x v="0"/>
  </r>
  <r>
    <x v="158"/>
    <x v="172"/>
    <x v="166"/>
    <x v="0"/>
    <s v="Kerupuk Sayur"/>
    <n v="15"/>
    <n v="7000"/>
    <n v="4200"/>
    <n v="2800"/>
    <n v="105000"/>
    <n v="100800"/>
    <x v="10"/>
    <x v="1"/>
  </r>
  <r>
    <x v="159"/>
    <x v="173"/>
    <x v="167"/>
    <x v="4"/>
    <s v="Celana Pendek Santai"/>
    <n v="8"/>
    <n v="45000"/>
    <n v="27000"/>
    <n v="18000"/>
    <n v="360000"/>
    <n v="333000"/>
    <x v="9"/>
    <x v="0"/>
  </r>
  <r>
    <x v="160"/>
    <x v="174"/>
    <x v="168"/>
    <x v="5"/>
    <s v="Mainan Dokter Gigi"/>
    <n v="2"/>
    <n v="85000"/>
    <n v="51000"/>
    <n v="34000"/>
    <n v="170000"/>
    <n v="119000"/>
    <x v="1"/>
    <x v="2"/>
  </r>
  <r>
    <x v="161"/>
    <x v="175"/>
    <x v="169"/>
    <x v="0"/>
    <s v="Bumbu Kacang Instan"/>
    <n v="5"/>
    <n v="16000"/>
    <n v="9600"/>
    <n v="6400"/>
    <n v="80000"/>
    <n v="70400"/>
    <x v="6"/>
    <x v="0"/>
  </r>
  <r>
    <x v="162"/>
    <x v="176"/>
    <x v="170"/>
    <x v="1"/>
    <s v="Kopi Susu Kaleng Dingin"/>
    <n v="6"/>
    <n v="15000"/>
    <n v="9000"/>
    <n v="6000"/>
    <n v="90000"/>
    <n v="81000"/>
    <x v="2"/>
    <x v="1"/>
  </r>
  <r>
    <x v="163"/>
    <x v="177"/>
    <x v="48"/>
    <x v="2"/>
    <s v="Hard Disk Eksternal 1Tb"/>
    <n v="1"/>
    <n v="750000"/>
    <n v="450000"/>
    <n v="300000"/>
    <n v="750000"/>
    <n v="300000"/>
    <x v="7"/>
    <x v="2"/>
  </r>
  <r>
    <x v="164"/>
    <x v="178"/>
    <x v="171"/>
    <x v="3"/>
    <s v="Maskara Volume Tebal"/>
    <n v="2"/>
    <n v="70000"/>
    <n v="42000"/>
    <n v="28000"/>
    <n v="140000"/>
    <n v="98000"/>
    <x v="0"/>
    <x v="0"/>
  </r>
  <r>
    <x v="165"/>
    <x v="179"/>
    <x v="172"/>
    <x v="0"/>
    <s v="Teh Hijau Daun"/>
    <n v="4"/>
    <n v="18000"/>
    <n v="10800"/>
    <n v="7200"/>
    <n v="72000"/>
    <n v="61200"/>
    <x v="5"/>
    <x v="1"/>
  </r>
  <r>
    <x v="166"/>
    <x v="180"/>
    <x v="173"/>
    <x v="4"/>
    <s v="Rompi Rajut Wanita"/>
    <n v="3"/>
    <n v="140000"/>
    <n v="84000"/>
    <n v="56000"/>
    <n v="420000"/>
    <n v="336000"/>
    <x v="10"/>
    <x v="0"/>
  </r>
  <r>
    <x v="167"/>
    <x v="181"/>
    <x v="174"/>
    <x v="5"/>
    <s v="Alat Musik Mainan"/>
    <n v="1"/>
    <n v="120000"/>
    <n v="72000"/>
    <n v="48000"/>
    <n v="120000"/>
    <n v="48000"/>
    <x v="9"/>
    <x v="2"/>
  </r>
  <r>
    <x v="168"/>
    <x v="182"/>
    <x v="175"/>
    <x v="0"/>
    <s v="Madu Murni Botol Kecil"/>
    <n v="5"/>
    <n v="55000"/>
    <n v="33000"/>
    <n v="22000"/>
    <n v="275000"/>
    <n v="242000"/>
    <x v="1"/>
    <x v="0"/>
  </r>
  <r>
    <x v="169"/>
    <x v="183"/>
    <x v="176"/>
    <x v="1"/>
    <s v="Jus Sayur Botol"/>
    <n v="4"/>
    <n v="35000"/>
    <n v="21000"/>
    <n v="14000"/>
    <n v="140000"/>
    <n v="119000"/>
    <x v="6"/>
    <x v="1"/>
  </r>
  <r>
    <x v="170"/>
    <x v="184"/>
    <x v="177"/>
    <x v="2"/>
    <s v="Mouse Pad Gaming"/>
    <n v="2"/>
    <n v="30000"/>
    <n v="18000"/>
    <n v="12000"/>
    <n v="60000"/>
    <n v="42000"/>
    <x v="2"/>
    <x v="2"/>
  </r>
  <r>
    <x v="171"/>
    <x v="185"/>
    <x v="178"/>
    <x v="3"/>
    <s v="Pensil Alis Otomatis"/>
    <n v="6"/>
    <n v="25000"/>
    <n v="15000"/>
    <n v="10000"/>
    <n v="150000"/>
    <n v="135000"/>
    <x v="4"/>
    <x v="0"/>
  </r>
  <r>
    <x v="153"/>
    <x v="186"/>
    <x v="179"/>
    <x v="0"/>
    <s v="Bawang Merah 1 Kg"/>
    <n v="3"/>
    <n v="32000"/>
    <n v="19200"/>
    <n v="12800"/>
    <n v="96000"/>
    <n v="76800"/>
    <x v="11"/>
    <x v="1"/>
  </r>
  <r>
    <x v="172"/>
    <x v="187"/>
    <x v="114"/>
    <x v="4"/>
    <s v="Baju Tidur Satin"/>
    <n v="4"/>
    <n v="95000"/>
    <n v="57000"/>
    <n v="38000"/>
    <n v="380000"/>
    <n v="323000"/>
    <x v="5"/>
    <x v="0"/>
  </r>
  <r>
    <x v="173"/>
    <x v="188"/>
    <x v="180"/>
    <x v="5"/>
    <s v="Boneka Beruang Besar"/>
    <n v="1"/>
    <n v="180000"/>
    <n v="108000"/>
    <n v="72000"/>
    <n v="180000"/>
    <n v="72000"/>
    <x v="10"/>
    <x v="2"/>
  </r>
  <r>
    <x v="49"/>
    <x v="189"/>
    <x v="181"/>
    <x v="0"/>
    <s v="Sambal Terasi Instan"/>
    <n v="8"/>
    <n v="12000"/>
    <n v="7200"/>
    <n v="4800"/>
    <n v="96000"/>
    <n v="88800"/>
    <x v="9"/>
    <x v="0"/>
  </r>
  <r>
    <x v="9"/>
    <x v="190"/>
    <x v="182"/>
    <x v="1"/>
    <s v="Air Mineral Rasa Buah"/>
    <n v="10"/>
    <n v="5000"/>
    <n v="3000"/>
    <n v="2000"/>
    <n v="50000"/>
    <n v="47000"/>
    <x v="1"/>
    <x v="1"/>
  </r>
  <r>
    <x v="174"/>
    <x v="191"/>
    <x v="183"/>
    <x v="2"/>
    <s v="Power Inverter Mobil"/>
    <n v="1"/>
    <n v="100000"/>
    <n v="60000"/>
    <n v="40000"/>
    <n v="100000"/>
    <n v="40000"/>
    <x v="6"/>
    <x v="2"/>
  </r>
  <r>
    <x v="83"/>
    <x v="192"/>
    <x v="184"/>
    <x v="3"/>
    <s v="Krim Anti Jerawat Totol"/>
    <n v="3"/>
    <n v="50000"/>
    <n v="30000"/>
    <n v="20000"/>
    <n v="150000"/>
    <n v="120000"/>
    <x v="2"/>
    <x v="0"/>
  </r>
  <r>
    <x v="135"/>
    <x v="193"/>
    <x v="185"/>
    <x v="0"/>
    <s v="Beras Merah Organik"/>
    <n v="5"/>
    <n v="80000"/>
    <n v="48000"/>
    <n v="32000"/>
    <n v="400000"/>
    <n v="352000"/>
    <x v="7"/>
    <x v="1"/>
  </r>
  <r>
    <x v="175"/>
    <x v="194"/>
    <x v="186"/>
    <x v="4"/>
    <s v="Kaftan Muslim Wanita"/>
    <n v="2"/>
    <n v="250000"/>
    <n v="150000"/>
    <n v="100000"/>
    <n v="500000"/>
    <n v="350000"/>
    <x v="0"/>
    <x v="0"/>
  </r>
  <r>
    <x v="176"/>
    <x v="195"/>
    <x v="187"/>
    <x v="5"/>
    <s v="Set Mainan Pemadam Kebakaran"/>
    <n v="3"/>
    <n v="70000"/>
    <n v="42000"/>
    <n v="28000"/>
    <n v="210000"/>
    <n v="168000"/>
    <x v="5"/>
    <x v="2"/>
  </r>
  <r>
    <x v="177"/>
    <x v="196"/>
    <x v="188"/>
    <x v="0"/>
    <s v="Bubur Bayi Instan Kotak"/>
    <n v="12"/>
    <n v="15000"/>
    <n v="9000"/>
    <n v="6000"/>
    <n v="180000"/>
    <n v="171000"/>
    <x v="10"/>
    <x v="0"/>
  </r>
  <r>
    <x v="178"/>
    <x v="197"/>
    <x v="189"/>
    <x v="1"/>
    <s v="Teh Tarik Instan Sachet"/>
    <n v="20"/>
    <n v="4000"/>
    <n v="2400"/>
    <n v="1600"/>
    <n v="80000"/>
    <n v="77600"/>
    <x v="9"/>
    <x v="1"/>
  </r>
  <r>
    <x v="179"/>
    <x v="198"/>
    <x v="42"/>
    <x v="2"/>
    <s v="Webcam Hd"/>
    <n v="1"/>
    <n v="90000"/>
    <n v="54000"/>
    <n v="36000"/>
    <n v="90000"/>
    <n v="36000"/>
    <x v="1"/>
    <x v="2"/>
  </r>
  <r>
    <x v="180"/>
    <x v="199"/>
    <x v="22"/>
    <x v="3"/>
    <s v="Hair Tonic Penyubur Rambut"/>
    <n v="2"/>
    <n v="85000"/>
    <n v="51000"/>
    <n v="34000"/>
    <n v="170000"/>
    <n v="119000"/>
    <x v="6"/>
    <x v="0"/>
  </r>
  <r>
    <x v="181"/>
    <x v="200"/>
    <x v="190"/>
    <x v="0"/>
    <s v="Kue Kering Natal"/>
    <n v="4"/>
    <n v="50000"/>
    <n v="30000"/>
    <n v="20000"/>
    <n v="200000"/>
    <n v="170000"/>
    <x v="2"/>
    <x v="1"/>
  </r>
  <r>
    <x v="97"/>
    <x v="201"/>
    <x v="24"/>
    <x v="4"/>
    <s v="Dasi Pria Motif"/>
    <n v="1"/>
    <n v="75000"/>
    <n v="45000"/>
    <n v="30000"/>
    <n v="75000"/>
    <n v="30000"/>
    <x v="4"/>
    <x v="0"/>
  </r>
  <r>
    <x v="19"/>
    <x v="202"/>
    <x v="191"/>
    <x v="5"/>
    <s v="Mainan Robot Interaktif"/>
    <n v="1"/>
    <n v="350000"/>
    <n v="210000"/>
    <n v="140000"/>
    <n v="350000"/>
    <n v="140000"/>
    <x v="11"/>
    <x v="2"/>
  </r>
  <r>
    <x v="182"/>
    <x v="203"/>
    <x v="192"/>
    <x v="0"/>
    <s v="Kripik Ubi Ungu"/>
    <n v="6"/>
    <n v="17000"/>
    <n v="10200"/>
    <n v="6800"/>
    <n v="102000"/>
    <n v="91800"/>
    <x v="5"/>
    <x v="0"/>
  </r>
  <r>
    <x v="183"/>
    <x v="204"/>
    <x v="82"/>
    <x v="1"/>
    <s v="Kopi Latte Botol"/>
    <n v="5"/>
    <n v="13000"/>
    <n v="7800"/>
    <n v="5200"/>
    <n v="65000"/>
    <n v="57200"/>
    <x v="10"/>
    <x v="1"/>
  </r>
  <r>
    <x v="184"/>
    <x v="205"/>
    <x v="193"/>
    <x v="2"/>
    <s v="Power Bank 20000Mah"/>
    <n v="1"/>
    <n v="250000"/>
    <n v="150000"/>
    <n v="100000"/>
    <n v="250000"/>
    <n v="100000"/>
    <x v="9"/>
    <x v="2"/>
  </r>
  <r>
    <x v="74"/>
    <x v="206"/>
    <x v="194"/>
    <x v="3"/>
    <s v="Body Mist Aroma Segar"/>
    <n v="8"/>
    <n v="30000"/>
    <n v="18000"/>
    <n v="12000"/>
    <n v="240000"/>
    <n v="222000"/>
    <x v="1"/>
    <x v="0"/>
  </r>
  <r>
    <x v="185"/>
    <x v="207"/>
    <x v="195"/>
    <x v="0"/>
    <s v="Minyak Wijen 250Ml"/>
    <n v="2"/>
    <n v="45000"/>
    <n v="27000"/>
    <n v="18000"/>
    <n v="90000"/>
    <n v="63000"/>
    <x v="6"/>
    <x v="1"/>
  </r>
  <r>
    <x v="186"/>
    <x v="208"/>
    <x v="196"/>
    <x v="4"/>
    <s v="Sarung Bantal Sofa Set"/>
    <n v="4"/>
    <n v="150000"/>
    <n v="90000"/>
    <n v="60000"/>
    <n v="600000"/>
    <n v="510000"/>
    <x v="2"/>
    <x v="0"/>
  </r>
  <r>
    <x v="187"/>
    <x v="209"/>
    <x v="197"/>
    <x v="5"/>
    <s v="Puzzle Bentuk Angka"/>
    <n v="10"/>
    <n v="20000"/>
    <n v="12000"/>
    <n v="8000"/>
    <n v="200000"/>
    <n v="188000"/>
    <x v="7"/>
    <x v="2"/>
  </r>
  <r>
    <x v="188"/>
    <x v="210"/>
    <x v="198"/>
    <x v="0"/>
    <s v="Mie Telur Kering Pack"/>
    <n v="15"/>
    <n v="10000"/>
    <n v="6000"/>
    <n v="4000"/>
    <n v="150000"/>
    <n v="144000"/>
    <x v="0"/>
    <x v="0"/>
  </r>
  <r>
    <x v="189"/>
    <x v="211"/>
    <x v="199"/>
    <x v="1"/>
    <s v="Air Kelapa Kemasan Kotak"/>
    <n v="7"/>
    <n v="14000"/>
    <n v="8400"/>
    <n v="5600"/>
    <n v="98000"/>
    <n v="89600"/>
    <x v="5"/>
    <x v="1"/>
  </r>
  <r>
    <x v="190"/>
    <x v="212"/>
    <x v="200"/>
    <x v="2"/>
    <s v="Speaker Pasif Rakitan"/>
    <n v="1"/>
    <n v="300000"/>
    <n v="180000"/>
    <n v="120000"/>
    <n v="300000"/>
    <n v="120000"/>
    <x v="10"/>
    <x v="2"/>
  </r>
  <r>
    <x v="191"/>
    <x v="213"/>
    <x v="201"/>
    <x v="3"/>
    <s v="Kuas Set Makeup Lengkap"/>
    <n v="1"/>
    <n v="180000"/>
    <n v="108000"/>
    <n v="72000"/>
    <n v="180000"/>
    <n v="72000"/>
    <x v="9"/>
    <x v="0"/>
  </r>
  <r>
    <x v="84"/>
    <x v="214"/>
    <x v="202"/>
    <x v="0"/>
    <s v="Keju Mozzarella 250G"/>
    <n v="3"/>
    <n v="40000"/>
    <n v="24000"/>
    <n v="16000"/>
    <n v="120000"/>
    <n v="96000"/>
    <x v="1"/>
    <x v="1"/>
  </r>
  <r>
    <x v="192"/>
    <x v="215"/>
    <x v="203"/>
    <x v="4"/>
    <s v="Selimut Bulu Halus"/>
    <n v="2"/>
    <n v="160000"/>
    <n v="96000"/>
    <n v="64000"/>
    <n v="320000"/>
    <n v="224000"/>
    <x v="6"/>
    <x v="0"/>
  </r>
  <r>
    <x v="193"/>
    <x v="216"/>
    <x v="204"/>
    <x v="5"/>
    <s v="Helikopter Remote Control"/>
    <n v="1"/>
    <n v="280000"/>
    <n v="168000"/>
    <n v="112000"/>
    <n v="280000"/>
    <n v="112000"/>
    <x v="2"/>
    <x v="2"/>
  </r>
  <r>
    <x v="194"/>
    <x v="217"/>
    <x v="205"/>
    <x v="0"/>
    <s v="Saus Sambal Botol Pedas"/>
    <n v="5"/>
    <n v="15000"/>
    <n v="9000"/>
    <n v="6000"/>
    <n v="75000"/>
    <n v="66000"/>
    <x v="4"/>
    <x v="0"/>
  </r>
  <r>
    <x v="32"/>
    <x v="218"/>
    <x v="206"/>
    <x v="1"/>
    <s v="Teh Lemon Instan"/>
    <n v="12"/>
    <n v="6000"/>
    <n v="3600"/>
    <n v="2400"/>
    <n v="72000"/>
    <n v="68400"/>
    <x v="11"/>
    <x v="1"/>
  </r>
  <r>
    <x v="195"/>
    <x v="219"/>
    <x v="207"/>
    <x v="2"/>
    <s v="Projector Mini Portabel"/>
    <n v="1"/>
    <n v="800000"/>
    <n v="480000"/>
    <n v="320000"/>
    <n v="800000"/>
    <n v="320000"/>
    <x v="5"/>
    <x v="2"/>
  </r>
  <r>
    <x v="196"/>
    <x v="220"/>
    <x v="208"/>
    <x v="3"/>
    <s v="Face Mist Vitamin C"/>
    <n v="4"/>
    <n v="45000"/>
    <n v="27000"/>
    <n v="18000"/>
    <n v="180000"/>
    <n v="153000"/>
    <x v="10"/>
    <x v="0"/>
  </r>
  <r>
    <x v="197"/>
    <x v="221"/>
    <x v="172"/>
    <x v="0"/>
    <s v="Biskuit Rasa Pisang"/>
    <n v="10"/>
    <n v="9000"/>
    <n v="5400"/>
    <n v="3600"/>
    <n v="90000"/>
    <n v="84600"/>
    <x v="9"/>
    <x v="1"/>
  </r>
  <r>
    <x v="198"/>
    <x v="222"/>
    <x v="209"/>
    <x v="4"/>
    <s v="Kardigan Rajut Wanita"/>
    <n v="3"/>
    <n v="110000"/>
    <n v="66000"/>
    <n v="44000"/>
    <n v="330000"/>
    <n v="264000"/>
    <x v="1"/>
    <x v="0"/>
  </r>
  <r>
    <x v="199"/>
    <x v="223"/>
    <x v="210"/>
    <x v="5"/>
    <s v="Mainan Blok Bangunan Besar"/>
    <n v="6"/>
    <n v="90000"/>
    <n v="54000"/>
    <n v="36000"/>
    <n v="540000"/>
    <n v="486000"/>
    <x v="6"/>
    <x v="2"/>
  </r>
  <r>
    <x v="200"/>
    <x v="224"/>
    <x v="211"/>
    <x v="0"/>
    <s v="Buah Anggur Merah 1Kg"/>
    <n v="2"/>
    <n v="60000"/>
    <n v="36000"/>
    <n v="24000"/>
    <n v="120000"/>
    <n v="84000"/>
    <x v="2"/>
    <x v="0"/>
  </r>
  <r>
    <x v="201"/>
    <x v="225"/>
    <x v="212"/>
    <x v="1"/>
    <s v="Air Kelapa Hijau"/>
    <n v="1"/>
    <n v="25000"/>
    <n v="15000"/>
    <n v="10000"/>
    <n v="25000"/>
    <n v="10000"/>
    <x v="7"/>
    <x v="1"/>
  </r>
  <r>
    <x v="202"/>
    <x v="226"/>
    <x v="213"/>
    <x v="2"/>
    <s v="Tripod Hp Fleksibel"/>
    <n v="3"/>
    <n v="40000"/>
    <n v="24000"/>
    <n v="16000"/>
    <n v="120000"/>
    <n v="96000"/>
    <x v="0"/>
    <x v="2"/>
  </r>
  <r>
    <x v="203"/>
    <x v="227"/>
    <x v="214"/>
    <x v="3"/>
    <s v="Pomade Rambut Pria"/>
    <n v="5"/>
    <n v="55000"/>
    <n v="33000"/>
    <n v="22000"/>
    <n v="275000"/>
    <n v="242000"/>
    <x v="5"/>
    <x v="0"/>
  </r>
  <r>
    <x v="204"/>
    <x v="228"/>
    <x v="215"/>
    <x v="0"/>
    <s v="Ayam Potong Segar"/>
    <n v="4"/>
    <n v="55000"/>
    <n v="33000"/>
    <n v="22000"/>
    <n v="220000"/>
    <n v="187000"/>
    <x v="10"/>
    <x v="1"/>
  </r>
  <r>
    <x v="2"/>
    <x v="229"/>
    <x v="216"/>
    <x v="4"/>
    <s v="Sepatu Sandal Kulit Wanita"/>
    <n v="1"/>
    <n v="300000"/>
    <n v="180000"/>
    <n v="120000"/>
    <n v="300000"/>
    <n v="120000"/>
    <x v="9"/>
    <x v="0"/>
  </r>
  <r>
    <x v="111"/>
    <x v="230"/>
    <x v="217"/>
    <x v="5"/>
    <s v="Set Mainan Dinosaurus"/>
    <n v="7"/>
    <n v="30000"/>
    <n v="18000"/>
    <n v="12000"/>
    <n v="210000"/>
    <n v="192000"/>
    <x v="1"/>
    <x v="2"/>
  </r>
  <r>
    <x v="205"/>
    <x v="231"/>
    <x v="50"/>
    <x v="0"/>
    <s v="Ikan Kaleng Tuna"/>
    <n v="5"/>
    <n v="24000"/>
    <n v="14400"/>
    <n v="9600"/>
    <n v="120000"/>
    <n v="105600"/>
    <x v="6"/>
    <x v="0"/>
  </r>
  <r>
    <x v="175"/>
    <x v="232"/>
    <x v="218"/>
    <x v="1"/>
    <s v="Soda Rasa Cola Kaleng"/>
    <n v="15"/>
    <n v="6500"/>
    <n v="3900"/>
    <n v="2600"/>
    <n v="97500"/>
    <n v="93600"/>
    <x v="2"/>
    <x v="1"/>
  </r>
  <r>
    <x v="143"/>
    <x v="233"/>
    <x v="219"/>
    <x v="2"/>
    <s v="Smart Bulb Lampu Pintar"/>
    <n v="2"/>
    <n v="90000"/>
    <n v="54000"/>
    <n v="36000"/>
    <n v="180000"/>
    <n v="126000"/>
    <x v="4"/>
    <x v="2"/>
  </r>
  <r>
    <x v="201"/>
    <x v="234"/>
    <x v="220"/>
    <x v="3"/>
    <s v="Hand Sanitizer Gel 500Ml"/>
    <n v="10"/>
    <n v="20000"/>
    <n v="12000"/>
    <n v="8000"/>
    <n v="200000"/>
    <n v="188000"/>
    <x v="11"/>
    <x v="0"/>
  </r>
  <r>
    <x v="206"/>
    <x v="235"/>
    <x v="23"/>
    <x v="0"/>
    <s v="Telur Bebek Pack 6"/>
    <n v="2"/>
    <n v="30000"/>
    <n v="18000"/>
    <n v="12000"/>
    <n v="60000"/>
    <n v="42000"/>
    <x v="5"/>
    <x v="1"/>
  </r>
  <r>
    <x v="207"/>
    <x v="236"/>
    <x v="221"/>
    <x v="4"/>
    <s v="Jumpsuit Wanita Fashion"/>
    <n v="1"/>
    <n v="280000"/>
    <n v="168000"/>
    <n v="112000"/>
    <n v="280000"/>
    <n v="112000"/>
    <x v="10"/>
    <x v="0"/>
  </r>
  <r>
    <x v="119"/>
    <x v="237"/>
    <x v="52"/>
    <x v="5"/>
    <s v="Bola Basket Anak"/>
    <n v="4"/>
    <n v="80000"/>
    <n v="48000"/>
    <n v="32000"/>
    <n v="320000"/>
    <n v="272000"/>
    <x v="9"/>
    <x v="2"/>
  </r>
  <r>
    <x v="131"/>
    <x v="238"/>
    <x v="19"/>
    <x v="0"/>
    <s v="Keripik Kentang Original"/>
    <n v="9"/>
    <n v="15000"/>
    <n v="9000"/>
    <n v="6000"/>
    <n v="135000"/>
    <n v="126000"/>
    <x v="1"/>
    <x v="0"/>
  </r>
  <r>
    <x v="208"/>
    <x v="239"/>
    <x v="222"/>
    <x v="1"/>
    <s v="Susu Bubuk Full Cream 400G"/>
    <n v="3"/>
    <n v="55000"/>
    <n v="33000"/>
    <n v="22000"/>
    <n v="165000"/>
    <n v="132000"/>
    <x v="6"/>
    <x v="1"/>
  </r>
  <r>
    <x v="209"/>
    <x v="240"/>
    <x v="62"/>
    <x v="2"/>
    <s v="Headphone Noise Cancelling"/>
    <n v="1"/>
    <n v="450000"/>
    <n v="270000"/>
    <n v="180000"/>
    <n v="450000"/>
    <n v="180000"/>
    <x v="2"/>
    <x v="2"/>
  </r>
  <r>
    <x v="210"/>
    <x v="241"/>
    <x v="146"/>
    <x v="3"/>
    <s v="Serum Anti Aging Malam"/>
    <n v="2"/>
    <n v="120000"/>
    <n v="72000"/>
    <n v="48000"/>
    <n v="240000"/>
    <n v="168000"/>
    <x v="7"/>
    <x v="0"/>
  </r>
  <r>
    <x v="211"/>
    <x v="242"/>
    <x v="10"/>
    <x v="0"/>
    <s v="Pasta Gigi Anak"/>
    <n v="5"/>
    <n v="18000"/>
    <n v="10800"/>
    <n v="7200"/>
    <n v="90000"/>
    <n v="79200"/>
    <x v="0"/>
    <x v="1"/>
  </r>
  <r>
    <x v="212"/>
    <x v="243"/>
    <x v="5"/>
    <x v="4"/>
    <s v="Daster Batik Casual"/>
    <n v="6"/>
    <n v="75000"/>
    <n v="45000"/>
    <n v="30000"/>
    <n v="450000"/>
    <n v="405000"/>
    <x v="5"/>
    <x v="0"/>
  </r>
  <r>
    <x v="213"/>
    <x v="244"/>
    <x v="13"/>
    <x v="5"/>
    <s v="Mainan Pesawat Mini"/>
    <n v="12"/>
    <n v="15000"/>
    <n v="9000"/>
    <n v="6000"/>
    <n v="180000"/>
    <n v="171000"/>
    <x v="10"/>
    <x v="2"/>
  </r>
  <r>
    <x v="214"/>
    <x v="245"/>
    <x v="88"/>
    <x v="0"/>
    <s v="Mentega Putih 500G"/>
    <n v="4"/>
    <n v="32000"/>
    <n v="19200"/>
    <n v="12800"/>
    <n v="128000"/>
    <n v="108800"/>
    <x v="9"/>
    <x v="0"/>
  </r>
  <r>
    <x v="215"/>
    <x v="246"/>
    <x v="12"/>
    <x v="1"/>
    <s v="Jus Jambu Biji 1L"/>
    <n v="8"/>
    <n v="16000"/>
    <n v="9600"/>
    <n v="6400"/>
    <n v="128000"/>
    <n v="118400"/>
    <x v="1"/>
    <x v="1"/>
  </r>
  <r>
    <x v="216"/>
    <x v="247"/>
    <x v="223"/>
    <x v="2"/>
    <s v="Kabel Ekstensi Roll"/>
    <n v="1"/>
    <n v="60000"/>
    <n v="36000"/>
    <n v="24000"/>
    <n v="60000"/>
    <n v="24000"/>
    <x v="6"/>
    <x v="2"/>
  </r>
  <r>
    <x v="217"/>
    <x v="248"/>
    <x v="56"/>
    <x v="3"/>
    <s v="Lulur Mandi Tradisional"/>
    <n v="3"/>
    <n v="35000"/>
    <n v="21000"/>
    <n v="14000"/>
    <n v="105000"/>
    <n v="84000"/>
    <x v="2"/>
    <x v="0"/>
  </r>
  <r>
    <x v="218"/>
    <x v="249"/>
    <x v="224"/>
    <x v="0"/>
    <s v="Sarden Saus Cabai"/>
    <n v="10"/>
    <n v="19000"/>
    <n v="11400"/>
    <n v="7600"/>
    <n v="190000"/>
    <n v="178600"/>
    <x v="4"/>
    <x v="1"/>
  </r>
  <r>
    <x v="219"/>
    <x v="250"/>
    <x v="38"/>
    <x v="4"/>
    <s v="Jaket Bomber Pria"/>
    <n v="1"/>
    <n v="400000"/>
    <n v="240000"/>
    <n v="160000"/>
    <n v="400000"/>
    <n v="160000"/>
    <x v="11"/>
    <x v="0"/>
  </r>
  <r>
    <x v="220"/>
    <x v="251"/>
    <x v="108"/>
    <x v="5"/>
    <s v="Papan Seluncur Anak"/>
    <n v="2"/>
    <n v="150000"/>
    <n v="90000"/>
    <n v="60000"/>
    <n v="300000"/>
    <n v="210000"/>
    <x v="5"/>
    <x v="2"/>
  </r>
  <r>
    <x v="221"/>
    <x v="252"/>
    <x v="225"/>
    <x v="0"/>
    <s v="Nasi Goreng Instan Pack"/>
    <n v="5"/>
    <n v="10000"/>
    <n v="6000"/>
    <n v="4000"/>
    <n v="50000"/>
    <n v="44000"/>
    <x v="10"/>
    <x v="0"/>
  </r>
  <r>
    <x v="222"/>
    <x v="253"/>
    <x v="226"/>
    <x v="1"/>
    <s v="Sirup Rasa Mawar Botol"/>
    <n v="2"/>
    <n v="30000"/>
    <n v="18000"/>
    <n v="12000"/>
    <n v="60000"/>
    <n v="42000"/>
    <x v="9"/>
    <x v="1"/>
  </r>
  <r>
    <x v="223"/>
    <x v="254"/>
    <x v="15"/>
    <x v="2"/>
    <s v="Power Adapter Universal"/>
    <n v="4"/>
    <n v="50000"/>
    <n v="30000"/>
    <n v="20000"/>
    <n v="200000"/>
    <n v="170000"/>
    <x v="1"/>
    <x v="2"/>
  </r>
  <r>
    <x v="224"/>
    <x v="255"/>
    <x v="98"/>
    <x v="3"/>
    <s v="Bedak Padat Anti Minyak"/>
    <n v="1"/>
    <n v="95000"/>
    <n v="57000"/>
    <n v="38000"/>
    <n v="95000"/>
    <n v="38000"/>
    <x v="6"/>
    <x v="0"/>
  </r>
  <r>
    <x v="225"/>
    <x v="256"/>
    <x v="227"/>
    <x v="0"/>
    <s v="Bahan Roti Gandum"/>
    <n v="7"/>
    <n v="45000"/>
    <n v="27000"/>
    <n v="18000"/>
    <n v="315000"/>
    <n v="288000"/>
    <x v="2"/>
    <x v="1"/>
  </r>
  <r>
    <x v="226"/>
    <x v="257"/>
    <x v="221"/>
    <x v="4"/>
    <s v="Topi Baret Wol"/>
    <n v="3"/>
    <n v="55000"/>
    <n v="33000"/>
    <n v="22000"/>
    <n v="165000"/>
    <n v="132000"/>
    <x v="4"/>
    <x v="0"/>
  </r>
  <r>
    <x v="227"/>
    <x v="258"/>
    <x v="32"/>
    <x v="5"/>
    <s v="Sepeda Mini Roda Dua"/>
    <n v="1"/>
    <n v="350000"/>
    <n v="210000"/>
    <n v="140000"/>
    <n v="350000"/>
    <n v="140000"/>
    <x v="11"/>
    <x v="2"/>
  </r>
  <r>
    <x v="228"/>
    <x v="259"/>
    <x v="228"/>
    <x v="0"/>
    <s v="Makaroni Instan Keju"/>
    <n v="8"/>
    <n v="12000"/>
    <n v="7200"/>
    <n v="4800"/>
    <n v="96000"/>
    <n v="88800"/>
    <x v="5"/>
    <x v="0"/>
  </r>
  <r>
    <x v="229"/>
    <x v="260"/>
    <x v="229"/>
    <x v="1"/>
    <s v="Kopi Dingin Kaleng Premium"/>
    <n v="10"/>
    <n v="18000"/>
    <n v="10800"/>
    <n v="7200"/>
    <n v="180000"/>
    <n v="169200"/>
    <x v="10"/>
    <x v="1"/>
  </r>
  <r>
    <x v="230"/>
    <x v="261"/>
    <x v="48"/>
    <x v="2"/>
    <s v="Kabel Lan Utp 10M"/>
    <n v="5"/>
    <n v="25000"/>
    <n v="15000"/>
    <n v="10000"/>
    <n v="125000"/>
    <n v="110000"/>
    <x v="9"/>
    <x v="2"/>
  </r>
  <r>
    <x v="231"/>
    <x v="262"/>
    <x v="230"/>
    <x v="3"/>
    <s v="Sabun Cair Antiseptik"/>
    <n v="15"/>
    <n v="10000"/>
    <n v="6000"/>
    <n v="4000"/>
    <n v="150000"/>
    <n v="144000"/>
    <x v="1"/>
    <x v="0"/>
  </r>
  <r>
    <x v="232"/>
    <x v="263"/>
    <x v="231"/>
    <x v="0"/>
    <s v="Sayur Bayam Segar"/>
    <n v="20"/>
    <n v="5000"/>
    <n v="3000"/>
    <n v="2000"/>
    <n v="100000"/>
    <n v="97000"/>
    <x v="6"/>
    <x v="1"/>
  </r>
  <r>
    <x v="233"/>
    <x v="264"/>
    <x v="232"/>
    <x v="4"/>
    <s v="Jilbab Instan Syar'I"/>
    <n v="4"/>
    <n v="160000"/>
    <n v="96000"/>
    <n v="64000"/>
    <n v="640000"/>
    <n v="544000"/>
    <x v="2"/>
    <x v="0"/>
  </r>
  <r>
    <x v="234"/>
    <x v="265"/>
    <x v="161"/>
    <x v="5"/>
    <s v="Mainan Boneka Kain"/>
    <n v="8"/>
    <n v="30000"/>
    <n v="18000"/>
    <n v="12000"/>
    <n v="240000"/>
    <n v="222000"/>
    <x v="7"/>
    <x v="2"/>
  </r>
  <r>
    <x v="235"/>
    <x v="266"/>
    <x v="78"/>
    <x v="0"/>
    <s v="Mie Goreng Jumbo Instan"/>
    <n v="3"/>
    <n v="4500"/>
    <n v="2700"/>
    <n v="1800"/>
    <n v="13500"/>
    <n v="10800"/>
    <x v="0"/>
    <x v="0"/>
  </r>
  <r>
    <x v="236"/>
    <x v="267"/>
    <x v="68"/>
    <x v="1"/>
    <s v="Air Mineral Rasa Apel"/>
    <n v="12"/>
    <n v="7000"/>
    <n v="4200"/>
    <n v="2800"/>
    <n v="84000"/>
    <n v="79800"/>
    <x v="5"/>
    <x v="1"/>
  </r>
  <r>
    <x v="237"/>
    <x v="268"/>
    <x v="104"/>
    <x v="2"/>
    <s v="Antena Tv Digital Outdoor"/>
    <n v="1"/>
    <n v="130000"/>
    <n v="78000"/>
    <n v="52000"/>
    <n v="130000"/>
    <n v="52000"/>
    <x v="10"/>
    <x v="2"/>
  </r>
  <r>
    <x v="238"/>
    <x v="269"/>
    <x v="49"/>
    <x v="3"/>
    <s v="Pewarna Rambut Permanen"/>
    <n v="2"/>
    <n v="75000"/>
    <n v="45000"/>
    <n v="30000"/>
    <n v="150000"/>
    <n v="105000"/>
    <x v="9"/>
    <x v="0"/>
  </r>
  <r>
    <x v="63"/>
    <x v="270"/>
    <x v="233"/>
    <x v="0"/>
    <s v="Kerupuk Kulit Sapi"/>
    <n v="5"/>
    <n v="20000"/>
    <n v="12000"/>
    <n v="8000"/>
    <n v="100000"/>
    <n v="88000"/>
    <x v="1"/>
    <x v="1"/>
  </r>
  <r>
    <x v="239"/>
    <x v="271"/>
    <x v="24"/>
    <x v="4"/>
    <s v="Sepatu Flat Shoes Wanita"/>
    <n v="1"/>
    <n v="200000"/>
    <n v="120000"/>
    <n v="80000"/>
    <n v="200000"/>
    <n v="80000"/>
    <x v="6"/>
    <x v="0"/>
  </r>
  <r>
    <x v="240"/>
    <x v="272"/>
    <x v="234"/>
    <x v="5"/>
    <s v="Papan Skateboard Pemula"/>
    <n v="1"/>
    <n v="220000"/>
    <n v="132000"/>
    <n v="88000"/>
    <n v="220000"/>
    <n v="88000"/>
    <x v="2"/>
    <x v="2"/>
  </r>
  <r>
    <x v="241"/>
    <x v="273"/>
    <x v="235"/>
    <x v="0"/>
    <s v="Permen Lollipop Besar"/>
    <n v="20"/>
    <n v="3000"/>
    <n v="1800"/>
    <n v="1200"/>
    <n v="60000"/>
    <n v="58200"/>
    <x v="4"/>
    <x v="0"/>
  </r>
  <r>
    <x v="242"/>
    <x v="274"/>
    <x v="218"/>
    <x v="1"/>
    <s v="Kefir Susu Fermentasi"/>
    <n v="4"/>
    <n v="38000"/>
    <n v="22800"/>
    <n v="15200"/>
    <n v="152000"/>
    <n v="129200"/>
    <x v="11"/>
    <x v="1"/>
  </r>
  <r>
    <x v="243"/>
    <x v="275"/>
    <x v="157"/>
    <x v="2"/>
    <s v="Timbangan Dapur Digital"/>
    <n v="1"/>
    <n v="60000"/>
    <n v="36000"/>
    <n v="24000"/>
    <n v="60000"/>
    <n v="24000"/>
    <x v="5"/>
    <x v="2"/>
  </r>
  <r>
    <x v="244"/>
    <x v="276"/>
    <x v="236"/>
    <x v="3"/>
    <s v="Shampoo Anti Rontok"/>
    <n v="3"/>
    <n v="45000"/>
    <n v="27000"/>
    <n v="18000"/>
    <n v="135000"/>
    <n v="108000"/>
    <x v="10"/>
    <x v="0"/>
  </r>
  <r>
    <x v="245"/>
    <x v="277"/>
    <x v="50"/>
    <x v="0"/>
    <s v="Gula Batu 500G"/>
    <n v="6"/>
    <n v="15000"/>
    <n v="9000"/>
    <n v="6000"/>
    <n v="90000"/>
    <n v="81000"/>
    <x v="9"/>
    <x v="1"/>
  </r>
  <r>
    <x v="246"/>
    <x v="278"/>
    <x v="237"/>
    <x v="4"/>
    <s v="Sandal Pria Sport"/>
    <n v="5"/>
    <n v="60000"/>
    <n v="36000"/>
    <n v="24000"/>
    <n v="300000"/>
    <n v="264000"/>
    <x v="1"/>
    <x v="0"/>
  </r>
  <r>
    <x v="33"/>
    <x v="279"/>
    <x v="52"/>
    <x v="5"/>
    <s v="Set Mainan Memancing"/>
    <n v="10"/>
    <n v="35000"/>
    <n v="21000"/>
    <n v="14000"/>
    <n v="350000"/>
    <n v="329000"/>
    <x v="6"/>
    <x v="2"/>
  </r>
  <r>
    <x v="247"/>
    <x v="280"/>
    <x v="8"/>
    <x v="0"/>
    <s v="Tepung Beras Ketan 1Kg"/>
    <n v="2"/>
    <n v="18000"/>
    <n v="10800"/>
    <n v="7200"/>
    <n v="36000"/>
    <n v="25200"/>
    <x v="2"/>
    <x v="0"/>
  </r>
  <r>
    <x v="248"/>
    <x v="281"/>
    <x v="212"/>
    <x v="1"/>
    <s v="Susu Almond Organik"/>
    <n v="1"/>
    <n v="40000"/>
    <n v="24000"/>
    <n v="16000"/>
    <n v="40000"/>
    <n v="16000"/>
    <x v="7"/>
    <x v="1"/>
  </r>
  <r>
    <x v="249"/>
    <x v="282"/>
    <x v="48"/>
    <x v="2"/>
    <s v="Power Cord Universal"/>
    <n v="8"/>
    <n v="15000"/>
    <n v="9000"/>
    <n v="6000"/>
    <n v="120000"/>
    <n v="111000"/>
    <x v="0"/>
    <x v="2"/>
  </r>
  <r>
    <x v="250"/>
    <x v="283"/>
    <x v="36"/>
    <x v="3"/>
    <s v="Lip Tint Glossy"/>
    <n v="6"/>
    <n v="28000"/>
    <n v="16800"/>
    <n v="11200"/>
    <n v="168000"/>
    <n v="151200"/>
    <x v="5"/>
    <x v="0"/>
  </r>
  <r>
    <x v="251"/>
    <x v="284"/>
    <x v="238"/>
    <x v="0"/>
    <s v="Bawang Bombay 1 Kg"/>
    <n v="3"/>
    <n v="25000"/>
    <n v="15000"/>
    <n v="10000"/>
    <n v="75000"/>
    <n v="60000"/>
    <x v="10"/>
    <x v="1"/>
  </r>
  <r>
    <x v="252"/>
    <x v="285"/>
    <x v="58"/>
    <x v="4"/>
    <s v="Kemeja Flanel Kotak-Kotak"/>
    <n v="2"/>
    <n v="140000"/>
    <n v="84000"/>
    <n v="56000"/>
    <n v="280000"/>
    <n v="196000"/>
    <x v="9"/>
    <x v="0"/>
  </r>
  <r>
    <x v="23"/>
    <x v="286"/>
    <x v="73"/>
    <x v="5"/>
    <s v="Mainan Hewan Karet"/>
    <n v="15"/>
    <n v="8000"/>
    <n v="4800"/>
    <n v="3200"/>
    <n v="120000"/>
    <n v="115200"/>
    <x v="1"/>
    <x v="2"/>
  </r>
  <r>
    <x v="68"/>
    <x v="287"/>
    <x v="53"/>
    <x v="0"/>
    <s v="Garam Laut Murni 500G"/>
    <n v="10"/>
    <n v="6000"/>
    <n v="3600"/>
    <n v="2400"/>
    <n v="60000"/>
    <n v="56400"/>
    <x v="6"/>
    <x v="0"/>
  </r>
  <r>
    <x v="142"/>
    <x v="288"/>
    <x v="182"/>
    <x v="1"/>
    <s v="Air Mineral Galon Kecil"/>
    <n v="1"/>
    <n v="35000"/>
    <n v="21000"/>
    <n v="14000"/>
    <n v="35000"/>
    <n v="14000"/>
    <x v="2"/>
    <x v="1"/>
  </r>
  <r>
    <x v="253"/>
    <x v="289"/>
    <x v="83"/>
    <x v="2"/>
    <s v="Kabel Audio Jack 3.5Mm"/>
    <n v="10"/>
    <n v="10000"/>
    <n v="6000"/>
    <n v="4000"/>
    <n v="100000"/>
    <n v="94000"/>
    <x v="4"/>
    <x v="2"/>
  </r>
  <r>
    <x v="254"/>
    <x v="290"/>
    <x v="22"/>
    <x v="3"/>
    <s v="Pembersih Kuas Makeup"/>
    <n v="4"/>
    <n v="50000"/>
    <n v="30000"/>
    <n v="20000"/>
    <n v="200000"/>
    <n v="170000"/>
    <x v="11"/>
    <x v="0"/>
  </r>
  <r>
    <x v="141"/>
    <x v="291"/>
    <x v="71"/>
    <x v="0"/>
    <s v="Nugget Ayam Beku 500G"/>
    <n v="5"/>
    <n v="40000"/>
    <n v="24000"/>
    <n v="16000"/>
    <n v="200000"/>
    <n v="176000"/>
    <x v="5"/>
    <x v="1"/>
  </r>
  <r>
    <x v="153"/>
    <x v="292"/>
    <x v="239"/>
    <x v="4"/>
    <s v="Syal Rajut Panjang"/>
    <n v="3"/>
    <n v="70000"/>
    <n v="42000"/>
    <n v="28000"/>
    <n v="210000"/>
    <n v="168000"/>
    <x v="10"/>
    <x v="0"/>
  </r>
  <r>
    <x v="255"/>
    <x v="293"/>
    <x v="154"/>
    <x v="5"/>
    <s v="Set Mainan Kereta Api"/>
    <n v="1"/>
    <n v="180000"/>
    <n v="108000"/>
    <n v="72000"/>
    <n v="180000"/>
    <n v="72000"/>
    <x v="9"/>
    <x v="2"/>
  </r>
  <r>
    <x v="256"/>
    <x v="294"/>
    <x v="10"/>
    <x v="0"/>
    <s v="Keju Parut Cheddar"/>
    <n v="6"/>
    <n v="28000"/>
    <n v="16800"/>
    <n v="11200"/>
    <n v="168000"/>
    <n v="151200"/>
    <x v="1"/>
    <x v="0"/>
  </r>
  <r>
    <x v="257"/>
    <x v="295"/>
    <x v="82"/>
    <x v="1"/>
    <s v="Teh Lemon Dingin Instan"/>
    <n v="8"/>
    <n v="12000"/>
    <n v="7200"/>
    <n v="4800"/>
    <n v="96000"/>
    <n v="88800"/>
    <x v="6"/>
    <x v="1"/>
  </r>
  <r>
    <x v="258"/>
    <x v="296"/>
    <x v="152"/>
    <x v="2"/>
    <s v="Lampu Uv Sterilisasi Portabel"/>
    <n v="1"/>
    <n v="150000"/>
    <n v="90000"/>
    <n v="60000"/>
    <n v="150000"/>
    <n v="60000"/>
    <x v="2"/>
    <x v="2"/>
  </r>
  <r>
    <x v="94"/>
    <x v="297"/>
    <x v="16"/>
    <x v="3"/>
    <s v="Lipstik Matte Nude"/>
    <n v="2"/>
    <n v="80000"/>
    <n v="48000"/>
    <n v="32000"/>
    <n v="160000"/>
    <n v="112000"/>
    <x v="7"/>
    <x v="0"/>
  </r>
  <r>
    <x v="259"/>
    <x v="298"/>
    <x v="26"/>
    <x v="0"/>
    <s v="Kopi Bubuk Kapal Api"/>
    <n v="10"/>
    <n v="20000"/>
    <n v="12000"/>
    <n v="8000"/>
    <n v="200000"/>
    <n v="188000"/>
    <x v="0"/>
    <x v="1"/>
  </r>
  <r>
    <x v="260"/>
    <x v="299"/>
    <x v="17"/>
    <x v="4"/>
    <s v="Jilbab Pashmina Motif"/>
    <n v="5"/>
    <n v="45000"/>
    <n v="27000"/>
    <n v="18000"/>
    <n v="225000"/>
    <n v="198000"/>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20A38-CB81-40EC-94F6-254A77DC6340}"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7:F40" firstHeaderRow="1" firstDataRow="1" firstDataCol="1"/>
  <pivotFields count="16">
    <pivotField axis="axisRow"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dataField="1" showAll="0">
      <items count="301">
        <item x="0"/>
        <item x="2"/>
        <item x="4"/>
        <item x="6"/>
        <item x="8"/>
        <item x="9"/>
        <item x="11"/>
        <item x="13"/>
        <item x="15"/>
        <item x="17"/>
        <item x="19"/>
        <item x="21"/>
        <item x="23"/>
        <item x="25"/>
        <item x="27"/>
        <item x="29"/>
        <item x="32"/>
        <item x="34"/>
        <item x="36"/>
        <item x="38"/>
        <item x="40"/>
        <item x="42"/>
        <item x="44"/>
        <item x="47"/>
        <item x="49"/>
        <item x="51"/>
        <item x="53"/>
        <item x="55"/>
        <item x="57"/>
        <item x="59"/>
        <item x="61"/>
        <item x="63"/>
        <item x="65"/>
        <item x="68"/>
        <item x="70"/>
        <item x="72"/>
        <item x="74"/>
        <item x="76"/>
        <item x="78"/>
        <item x="80"/>
        <item x="82"/>
        <item x="84"/>
        <item x="86"/>
        <item x="89"/>
        <item x="91"/>
        <item x="93"/>
        <item x="95"/>
        <item x="97"/>
        <item x="99"/>
        <item x="101"/>
        <item x="103"/>
        <item x="105"/>
        <item x="107"/>
        <item x="109"/>
        <item x="111"/>
        <item x="113"/>
        <item x="115"/>
        <item x="117"/>
        <item x="119"/>
        <item x="121"/>
        <item x="124"/>
        <item x="126"/>
        <item x="128"/>
        <item x="130"/>
        <item x="132"/>
        <item x="134"/>
        <item x="136"/>
        <item x="138"/>
        <item x="140"/>
        <item x="142"/>
        <item x="144"/>
        <item x="146"/>
        <item x="148"/>
        <item x="150"/>
        <item x="152"/>
        <item x="154"/>
        <item x="156"/>
        <item x="157"/>
        <item x="158"/>
        <item x="160"/>
        <item x="162"/>
        <item x="164"/>
        <item x="166"/>
        <item x="168"/>
        <item x="170"/>
        <item x="172"/>
        <item x="174"/>
        <item x="176"/>
        <item x="179"/>
        <item x="181"/>
        <item x="183"/>
        <item x="185"/>
        <item x="187"/>
        <item x="189"/>
        <item x="191"/>
        <item x="193"/>
        <item x="195"/>
        <item x="197"/>
        <item x="200"/>
        <item x="202"/>
        <item x="204"/>
        <item x="206"/>
        <item x="208"/>
        <item x="210"/>
        <item x="212"/>
        <item x="214"/>
        <item x="216"/>
        <item x="218"/>
        <item x="220"/>
        <item x="222"/>
        <item x="224"/>
        <item x="226"/>
        <item x="229"/>
        <item x="231"/>
        <item x="233"/>
        <item x="235"/>
        <item x="237"/>
        <item x="239"/>
        <item x="241"/>
        <item x="243"/>
        <item x="245"/>
        <item x="247"/>
        <item x="249"/>
        <item x="251"/>
        <item x="253"/>
        <item x="255"/>
        <item x="257"/>
        <item x="259"/>
        <item x="261"/>
        <item x="263"/>
        <item x="265"/>
        <item x="267"/>
        <item x="270"/>
        <item x="272"/>
        <item x="274"/>
        <item x="276"/>
        <item x="278"/>
        <item x="280"/>
        <item x="282"/>
        <item x="284"/>
        <item x="286"/>
        <item x="288"/>
        <item x="290"/>
        <item x="292"/>
        <item x="294"/>
        <item x="296"/>
        <item x="298"/>
        <item x="1"/>
        <item x="3"/>
        <item x="5"/>
        <item x="7"/>
        <item x="10"/>
        <item x="12"/>
        <item x="14"/>
        <item x="16"/>
        <item x="18"/>
        <item x="20"/>
        <item x="22"/>
        <item x="24"/>
        <item x="26"/>
        <item x="28"/>
        <item x="30"/>
        <item x="31"/>
        <item x="33"/>
        <item x="35"/>
        <item x="37"/>
        <item x="39"/>
        <item x="41"/>
        <item x="43"/>
        <item x="45"/>
        <item x="46"/>
        <item x="48"/>
        <item x="50"/>
        <item x="52"/>
        <item x="54"/>
        <item x="56"/>
        <item x="58"/>
        <item x="60"/>
        <item x="62"/>
        <item x="64"/>
        <item x="66"/>
        <item x="67"/>
        <item x="69"/>
        <item x="71"/>
        <item x="73"/>
        <item x="75"/>
        <item x="77"/>
        <item x="79"/>
        <item x="81"/>
        <item x="83"/>
        <item x="85"/>
        <item x="87"/>
        <item x="88"/>
        <item x="90"/>
        <item x="92"/>
        <item x="94"/>
        <item x="96"/>
        <item x="98"/>
        <item x="100"/>
        <item x="102"/>
        <item x="104"/>
        <item x="106"/>
        <item x="108"/>
        <item x="110"/>
        <item x="112"/>
        <item x="114"/>
        <item x="116"/>
        <item x="118"/>
        <item x="120"/>
        <item x="122"/>
        <item x="123"/>
        <item x="125"/>
        <item x="127"/>
        <item x="129"/>
        <item x="131"/>
        <item x="133"/>
        <item x="135"/>
        <item x="137"/>
        <item x="139"/>
        <item x="141"/>
        <item x="143"/>
        <item x="145"/>
        <item x="147"/>
        <item x="149"/>
        <item x="151"/>
        <item x="153"/>
        <item x="155"/>
        <item x="159"/>
        <item x="161"/>
        <item x="163"/>
        <item x="165"/>
        <item x="167"/>
        <item x="169"/>
        <item x="171"/>
        <item x="173"/>
        <item x="175"/>
        <item x="177"/>
        <item x="178"/>
        <item x="180"/>
        <item x="182"/>
        <item x="184"/>
        <item x="186"/>
        <item x="188"/>
        <item x="190"/>
        <item x="192"/>
        <item x="194"/>
        <item x="196"/>
        <item x="198"/>
        <item x="199"/>
        <item x="201"/>
        <item x="203"/>
        <item x="205"/>
        <item x="207"/>
        <item x="209"/>
        <item x="211"/>
        <item x="213"/>
        <item x="215"/>
        <item x="217"/>
        <item x="219"/>
        <item x="221"/>
        <item x="223"/>
        <item x="225"/>
        <item x="227"/>
        <item x="228"/>
        <item x="230"/>
        <item x="232"/>
        <item x="234"/>
        <item x="236"/>
        <item x="238"/>
        <item x="240"/>
        <item x="242"/>
        <item x="244"/>
        <item x="246"/>
        <item x="248"/>
        <item x="250"/>
        <item x="252"/>
        <item x="254"/>
        <item x="256"/>
        <item x="258"/>
        <item x="260"/>
        <item x="262"/>
        <item x="264"/>
        <item x="266"/>
        <item x="268"/>
        <item x="269"/>
        <item x="271"/>
        <item x="273"/>
        <item x="275"/>
        <item x="277"/>
        <item x="279"/>
        <item x="281"/>
        <item x="283"/>
        <item x="285"/>
        <item x="287"/>
        <item x="289"/>
        <item x="291"/>
        <item x="293"/>
        <item x="295"/>
        <item x="297"/>
        <item x="299"/>
        <item t="default"/>
      </items>
    </pivotField>
    <pivotField showAll="0"/>
    <pivotField showAll="0"/>
    <pivotField showAll="0"/>
    <pivotField numFmtId="1" showAll="0"/>
    <pivotField numFmtId="165" showAll="0"/>
    <pivotField numFmtId="165" showAll="0"/>
    <pivotField numFmtId="165" showAll="0"/>
    <pivotField numFmtId="165" showAll="0"/>
    <pivotField numFmtId="165" showAll="0"/>
    <pivotField showAll="0">
      <items count="13">
        <item x="1"/>
        <item x="7"/>
        <item x="4"/>
        <item x="0"/>
        <item x="8"/>
        <item x="3"/>
        <item x="11"/>
        <item x="9"/>
        <item x="5"/>
        <item x="6"/>
        <item x="2"/>
        <item x="10"/>
        <item t="default"/>
      </items>
    </pivotField>
    <pivotField showAll="0">
      <items count="4">
        <item x="1"/>
        <item x="2"/>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h="1" sd="0" x="0"/>
        <item sd="0" x="1"/>
        <item h="1" sd="0" x="2"/>
        <item sd="0" x="3"/>
        <item h="1" sd="0" x="4"/>
      </items>
    </pivotField>
  </pivotFields>
  <rowFields count="4">
    <field x="15"/>
    <field x="14"/>
    <field x="13"/>
    <field x="0"/>
  </rowFields>
  <rowItems count="3">
    <i>
      <x v="1"/>
    </i>
    <i>
      <x v="3"/>
    </i>
    <i t="grand">
      <x/>
    </i>
  </rowItems>
  <colItems count="1">
    <i/>
  </colItems>
  <dataFields count="1">
    <dataField name="Count of ID_Transaksi"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BF9C5B-E6D8-496D-A0B0-F48BEF73EE61}"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1:E32" firstHeaderRow="1" firstDataRow="1" firstDataCol="0"/>
  <pivotFields count="16">
    <pivotField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showAll="0"/>
    <pivotField showAll="0"/>
    <pivotField showAll="0"/>
    <pivotField numFmtId="1" showAll="0"/>
    <pivotField numFmtId="165" showAll="0"/>
    <pivotField numFmtId="165" showAll="0"/>
    <pivotField dataField="1" numFmtId="165" showAll="0"/>
    <pivotField numFmtId="165" showAll="0"/>
    <pivotField numFmtId="165" showAll="0"/>
    <pivotField showAll="0">
      <items count="13">
        <item x="1"/>
        <item x="7"/>
        <item x="4"/>
        <item x="0"/>
        <item x="8"/>
        <item x="3"/>
        <item x="11"/>
        <item x="9"/>
        <item x="5"/>
        <item x="6"/>
        <item x="2"/>
        <item x="10"/>
        <item t="default"/>
      </items>
    </pivotField>
    <pivotField showAll="0">
      <items count="4">
        <item x="1"/>
        <item x="2"/>
        <item x="0"/>
        <item t="default"/>
      </items>
    </pivotField>
    <pivotField showAll="0" defaultSubtotal="0"/>
    <pivotField showAll="0" defaultSubtotal="0"/>
    <pivotField showAll="0" defaultSubtotal="0">
      <items count="5">
        <item h="1" x="0"/>
        <item x="1"/>
        <item h="1" x="2"/>
        <item x="3"/>
        <item h="1" x="4"/>
      </items>
    </pivotField>
  </pivotFields>
  <rowItems count="1">
    <i/>
  </rowItems>
  <colItems count="1">
    <i/>
  </colItems>
  <dataFields count="1">
    <dataField name="Average of Margin" fld="8"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83373E-0E7F-4FF6-A614-8599B189B4D7}" name="PivotTotalProdukTerjual"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A41" firstHeaderRow="1" firstDataRow="1" firstDataCol="0"/>
  <pivotFields count="16">
    <pivotField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showAll="0"/>
    <pivotField showAll="0"/>
    <pivotField showAll="0"/>
    <pivotField dataField="1" numFmtId="1" showAll="0"/>
    <pivotField numFmtId="165" showAll="0"/>
    <pivotField numFmtId="165" showAll="0"/>
    <pivotField numFmtId="165" showAll="0"/>
    <pivotField numFmtId="165" showAll="0"/>
    <pivotField numFmtId="165" showAll="0"/>
    <pivotField showAll="0"/>
    <pivotField showAll="0">
      <items count="4">
        <item x="1"/>
        <item x="2"/>
        <item x="0"/>
        <item t="default"/>
      </items>
    </pivotField>
    <pivotField showAll="0" defaultSubtotal="0"/>
    <pivotField showAll="0" defaultSubtotal="0"/>
    <pivotField showAll="0" defaultSubtotal="0">
      <items count="5">
        <item h="1" x="0"/>
        <item x="1"/>
        <item h="1" x="2"/>
        <item x="3"/>
        <item h="1" x="4"/>
      </items>
    </pivotField>
  </pivotFields>
  <rowItems count="1">
    <i/>
  </rowItems>
  <colItems count="1">
    <i/>
  </colItems>
  <dataFields count="1">
    <dataField name="Sum of Qty"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45E8E5-7745-4F68-BC82-813654820073}" name="TotalPenjuala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L6" firstHeaderRow="1" firstDataRow="1" firstDataCol="1"/>
  <pivotFields count="16">
    <pivotField axis="axisRow"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showAll="0"/>
    <pivotField showAll="0"/>
    <pivotField showAll="0"/>
    <pivotField numFmtId="1" showAll="0"/>
    <pivotField numFmtId="165" showAll="0"/>
    <pivotField numFmtId="165" showAll="0"/>
    <pivotField numFmtId="165" showAll="0"/>
    <pivotField dataField="1" numFmtId="165" showAll="0"/>
    <pivotField numFmtId="165" showAll="0"/>
    <pivotField showAll="0"/>
    <pivotField showAll="0">
      <items count="4">
        <item x="1"/>
        <item x="2"/>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h="1" sd="0" x="0"/>
        <item sd="0" x="1"/>
        <item h="1" sd="0" x="2"/>
        <item sd="0" x="3"/>
        <item h="1" sd="0" x="4"/>
      </items>
    </pivotField>
  </pivotFields>
  <rowFields count="4">
    <field x="15"/>
    <field x="14"/>
    <field x="13"/>
    <field x="0"/>
  </rowFields>
  <rowItems count="3">
    <i>
      <x v="1"/>
    </i>
    <i>
      <x v="3"/>
    </i>
    <i t="grand">
      <x/>
    </i>
  </rowItems>
  <colItems count="1">
    <i/>
  </colItems>
  <dataFields count="1">
    <dataField name="Sum of Total_Penjualan" fld="9"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845F3C-95C1-4402-BA46-27C3A466FB91}" name="PivotTotalPenjualandanProfi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0:C33" firstHeaderRow="0" firstDataRow="1" firstDataCol="1"/>
  <pivotFields count="16">
    <pivotField axis="axisRow"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m="1" x="262"/>
        <item m="1" x="263"/>
        <item m="1" x="264"/>
        <item x="249"/>
        <item x="228"/>
        <item x="152"/>
        <item m="1" x="265"/>
        <item m="1" x="266"/>
        <item m="1" x="267"/>
        <item m="1" x="268"/>
        <item x="115"/>
        <item m="1" x="269"/>
        <item x="38"/>
        <item m="1" x="270"/>
        <item m="1" x="271"/>
        <item x="87"/>
        <item m="1" x="272"/>
        <item x="127"/>
        <item x="177"/>
        <item m="1" x="273"/>
        <item m="1" x="274"/>
        <item m="1" x="275"/>
        <item m="1" x="276"/>
        <item m="1" x="277"/>
        <item m="1" x="278"/>
        <item m="1" x="279"/>
        <item m="1" x="280"/>
        <item m="1" x="281"/>
        <item m="1" x="282"/>
        <item x="78"/>
        <item x="168"/>
        <item m="1" x="283"/>
        <item m="1" x="284"/>
        <item m="1" x="285"/>
        <item m="1" x="286"/>
        <item m="1" x="287"/>
        <item m="1" x="288"/>
        <item m="1" x="289"/>
        <item m="1" x="290"/>
        <item m="1" x="291"/>
        <item m="1" x="292"/>
        <item m="1" x="293"/>
        <item m="1" x="294"/>
        <item m="1" x="295"/>
        <item m="1" x="296"/>
        <item x="183"/>
        <item m="1" x="297"/>
        <item m="1" x="298"/>
        <item m="1" x="299"/>
        <item m="1" x="300"/>
        <item m="1" x="301"/>
        <item x="250"/>
        <item m="1" x="302"/>
        <item x="30"/>
        <item m="1" x="303"/>
        <item m="1" x="304"/>
        <item m="1" x="305"/>
        <item m="1" x="306"/>
        <item m="1" x="307"/>
        <item x="101"/>
        <item m="1" x="308"/>
        <item x="25"/>
        <item m="1" x="309"/>
        <item x="196"/>
        <item m="1" x="310"/>
        <item m="1" x="311"/>
        <item m="1" x="312"/>
        <item x="251"/>
        <item m="1" x="313"/>
        <item m="1" x="314"/>
        <item x="257"/>
        <item m="1" x="315"/>
        <item m="1" x="316"/>
        <item m="1" x="317"/>
        <item m="1" x="318"/>
        <item m="1" x="319"/>
        <item m="1" x="320"/>
        <item m="1" x="321"/>
        <item m="1" x="322"/>
        <item m="1" x="323"/>
        <item x="94"/>
        <item m="1" x="324"/>
        <item x="179"/>
        <item m="1" x="325"/>
        <item x="209"/>
        <item x="44"/>
        <item x="138"/>
        <item x="110"/>
        <item x="226"/>
        <item m="1" x="326"/>
        <item m="1" x="327"/>
        <item x="57"/>
        <item x="218"/>
        <item m="1" x="328"/>
        <item x="100"/>
        <item m="1" x="329"/>
        <item m="1" x="330"/>
        <item m="1" x="331"/>
        <item m="1" x="332"/>
        <item x="260"/>
        <item m="1" x="333"/>
        <item m="1" x="334"/>
        <item m="1" x="335"/>
        <item m="1" x="336"/>
        <item x="63"/>
        <item m="1" x="337"/>
        <item x="32"/>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x="0"/>
        <item x="1"/>
        <item x="2"/>
        <item x="3"/>
        <item x="4"/>
        <item x="5"/>
        <item x="6"/>
        <item x="7"/>
        <item x="8"/>
        <item x="9"/>
        <item x="10"/>
        <item x="11"/>
        <item x="12"/>
        <item x="13"/>
        <item x="14"/>
        <item x="15"/>
        <item x="16"/>
        <item x="17"/>
        <item x="18"/>
        <item x="19"/>
        <item x="20"/>
        <item x="21"/>
        <item x="22"/>
        <item x="23"/>
        <item x="24"/>
        <item x="26"/>
        <item x="27"/>
        <item x="28"/>
        <item x="29"/>
        <item x="31"/>
        <item x="33"/>
        <item x="34"/>
        <item x="35"/>
        <item x="36"/>
        <item x="37"/>
        <item x="39"/>
        <item x="40"/>
        <item x="41"/>
        <item x="42"/>
        <item x="43"/>
        <item x="45"/>
        <item x="46"/>
        <item x="47"/>
        <item x="48"/>
        <item x="49"/>
        <item x="50"/>
        <item x="51"/>
        <item x="52"/>
        <item x="53"/>
        <item x="54"/>
        <item x="55"/>
        <item x="56"/>
        <item x="58"/>
        <item x="59"/>
        <item x="60"/>
        <item x="61"/>
        <item x="62"/>
        <item x="64"/>
        <item x="65"/>
        <item x="66"/>
        <item x="67"/>
        <item x="68"/>
        <item x="69"/>
        <item x="70"/>
        <item x="71"/>
        <item x="72"/>
        <item x="73"/>
        <item x="74"/>
        <item x="75"/>
        <item x="76"/>
        <item x="77"/>
        <item x="79"/>
        <item x="80"/>
        <item x="81"/>
        <item x="82"/>
        <item x="83"/>
        <item x="84"/>
        <item x="85"/>
        <item x="86"/>
        <item x="88"/>
        <item x="89"/>
        <item x="90"/>
        <item x="91"/>
        <item x="92"/>
        <item x="93"/>
        <item x="95"/>
        <item x="96"/>
        <item x="97"/>
        <item x="98"/>
        <item x="99"/>
        <item x="102"/>
        <item x="103"/>
        <item x="104"/>
        <item x="105"/>
        <item x="106"/>
        <item x="107"/>
        <item x="108"/>
        <item x="109"/>
        <item x="111"/>
        <item x="112"/>
        <item x="113"/>
        <item x="114"/>
        <item x="116"/>
        <item x="117"/>
        <item x="118"/>
        <item x="119"/>
        <item x="120"/>
        <item x="121"/>
        <item x="122"/>
        <item x="123"/>
        <item x="124"/>
        <item x="125"/>
        <item x="126"/>
        <item x="128"/>
        <item x="129"/>
        <item x="130"/>
        <item x="131"/>
        <item x="132"/>
        <item x="133"/>
        <item x="134"/>
        <item x="135"/>
        <item x="136"/>
        <item x="137"/>
        <item x="139"/>
        <item x="140"/>
        <item x="141"/>
        <item x="142"/>
        <item x="143"/>
        <item x="144"/>
        <item x="145"/>
        <item x="146"/>
        <item x="147"/>
        <item x="148"/>
        <item x="149"/>
        <item x="150"/>
        <item x="151"/>
        <item x="153"/>
        <item x="154"/>
        <item x="155"/>
        <item x="156"/>
        <item x="157"/>
        <item x="158"/>
        <item x="159"/>
        <item x="160"/>
        <item x="161"/>
        <item x="162"/>
        <item x="163"/>
        <item x="164"/>
        <item x="165"/>
        <item x="166"/>
        <item x="167"/>
        <item x="169"/>
        <item x="170"/>
        <item x="171"/>
        <item x="172"/>
        <item x="173"/>
        <item x="174"/>
        <item x="175"/>
        <item x="176"/>
        <item x="178"/>
        <item x="180"/>
        <item x="181"/>
        <item x="182"/>
        <item x="184"/>
        <item x="185"/>
        <item x="187"/>
        <item x="188"/>
        <item x="189"/>
        <item x="190"/>
        <item x="191"/>
        <item x="192"/>
        <item x="193"/>
        <item x="194"/>
        <item x="195"/>
        <item x="197"/>
        <item x="198"/>
        <item x="199"/>
        <item x="200"/>
        <item x="201"/>
        <item x="202"/>
        <item x="203"/>
        <item x="204"/>
        <item x="205"/>
        <item x="206"/>
        <item x="207"/>
        <item x="208"/>
        <item x="210"/>
        <item x="211"/>
        <item x="212"/>
        <item x="213"/>
        <item x="214"/>
        <item x="215"/>
        <item x="216"/>
        <item x="217"/>
        <item x="219"/>
        <item x="220"/>
        <item x="221"/>
        <item x="222"/>
        <item x="223"/>
        <item x="224"/>
        <item x="225"/>
        <item x="227"/>
        <item x="229"/>
        <item x="230"/>
        <item x="231"/>
        <item x="232"/>
        <item x="233"/>
        <item x="234"/>
        <item x="235"/>
        <item x="236"/>
        <item x="237"/>
        <item x="238"/>
        <item x="239"/>
        <item x="240"/>
        <item x="241"/>
        <item x="242"/>
        <item x="243"/>
        <item x="244"/>
        <item x="245"/>
        <item x="246"/>
        <item x="247"/>
        <item x="248"/>
        <item x="252"/>
        <item x="253"/>
        <item x="254"/>
        <item x="255"/>
        <item x="256"/>
        <item x="258"/>
        <item x="259"/>
        <item t="default"/>
      </items>
    </pivotField>
    <pivotField showAll="0"/>
    <pivotField showAll="0"/>
    <pivotField showAll="0"/>
    <pivotField showAll="0"/>
    <pivotField numFmtId="1" showAll="0"/>
    <pivotField numFmtId="165" showAll="0"/>
    <pivotField numFmtId="165" showAll="0"/>
    <pivotField numFmtId="165" showAll="0"/>
    <pivotField dataField="1" numFmtId="165" showAll="0"/>
    <pivotField dataField="1" numFmtId="165" showAll="0"/>
    <pivotField showAll="0"/>
    <pivotField showAll="0">
      <items count="4">
        <item x="1"/>
        <item x="2"/>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5">
        <item sd="0" x="1"/>
        <item h="1" sd="0" x="2"/>
        <item sd="0" x="3"/>
        <item h="1" x="0"/>
        <item h="1" x="4"/>
      </items>
    </pivotField>
  </pivotFields>
  <rowFields count="2">
    <field x="13"/>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Total Penjualan" fld="9" baseField="13" baseItem="0" numFmtId="165"/>
    <dataField name="Total Profit" fld="10" baseField="13" baseItem="0" numFmtId="165"/>
  </dataFields>
  <chartFormats count="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9150CE-34D9-4C3A-AE68-14C0B4487E5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3:B50" firstHeaderRow="1" firstDataRow="1" firstDataCol="1"/>
  <pivotFields count="16">
    <pivotField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showAll="0"/>
    <pivotField axis="axisRow" showAll="0">
      <items count="7">
        <item x="2"/>
        <item x="3"/>
        <item x="5"/>
        <item x="0"/>
        <item x="1"/>
        <item x="4"/>
        <item t="default"/>
      </items>
    </pivotField>
    <pivotField showAll="0"/>
    <pivotField numFmtId="1" showAll="0"/>
    <pivotField numFmtId="165" showAll="0"/>
    <pivotField numFmtId="165" showAll="0"/>
    <pivotField numFmtId="165" showAll="0"/>
    <pivotField dataField="1" numFmtId="165" showAll="0"/>
    <pivotField numFmtId="165" showAll="0"/>
    <pivotField showAll="0"/>
    <pivotField showAll="0">
      <items count="4">
        <item x="1"/>
        <item x="2"/>
        <item x="0"/>
        <item t="default"/>
      </items>
    </pivotField>
    <pivotField showAll="0" defaultSubtotal="0"/>
    <pivotField showAll="0" defaultSubtotal="0"/>
    <pivotField showAll="0" defaultSubtotal="0">
      <items count="5">
        <item h="1" x="0"/>
        <item x="1"/>
        <item h="1" x="2"/>
        <item x="3"/>
        <item h="1" x="4"/>
      </items>
    </pivotField>
  </pivotFields>
  <rowFields count="1">
    <field x="3"/>
  </rowFields>
  <rowItems count="7">
    <i>
      <x/>
    </i>
    <i>
      <x v="1"/>
    </i>
    <i>
      <x v="2"/>
    </i>
    <i>
      <x v="3"/>
    </i>
    <i>
      <x v="4"/>
    </i>
    <i>
      <x v="5"/>
    </i>
    <i t="grand">
      <x/>
    </i>
  </rowItems>
  <colItems count="1">
    <i/>
  </colItems>
  <dataFields count="1">
    <dataField name="Sum of Total_Penjualan" fld="9" baseField="0" baseItem="0" numFmtId="165"/>
  </dataFields>
  <chartFormats count="7">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3" count="1" selected="0">
            <x v="0"/>
          </reference>
        </references>
      </pivotArea>
    </chartFormat>
    <chartFormat chart="5" format="16">
      <pivotArea type="data" outline="0" fieldPosition="0">
        <references count="2">
          <reference field="4294967294" count="1" selected="0">
            <x v="0"/>
          </reference>
          <reference field="3" count="1" selected="0">
            <x v="1"/>
          </reference>
        </references>
      </pivotArea>
    </chartFormat>
    <chartFormat chart="5" format="17">
      <pivotArea type="data" outline="0" fieldPosition="0">
        <references count="2">
          <reference field="4294967294" count="1" selected="0">
            <x v="0"/>
          </reference>
          <reference field="3" count="1" selected="0">
            <x v="2"/>
          </reference>
        </references>
      </pivotArea>
    </chartFormat>
    <chartFormat chart="5" format="18">
      <pivotArea type="data" outline="0" fieldPosition="0">
        <references count="2">
          <reference field="4294967294" count="1" selected="0">
            <x v="0"/>
          </reference>
          <reference field="3" count="1" selected="0">
            <x v="3"/>
          </reference>
        </references>
      </pivotArea>
    </chartFormat>
    <chartFormat chart="5" format="19">
      <pivotArea type="data" outline="0" fieldPosition="0">
        <references count="2">
          <reference field="4294967294" count="1" selected="0">
            <x v="0"/>
          </reference>
          <reference field="3" count="1" selected="0">
            <x v="4"/>
          </reference>
        </references>
      </pivotArea>
    </chartFormat>
    <chartFormat chart="5"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D60359-27B6-4486-B784-E1792AEFB1B2}"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15" firstHeaderRow="0" firstDataRow="1" firstDataCol="1"/>
  <pivotFields count="16">
    <pivotField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showAll="0"/>
    <pivotField showAll="0"/>
    <pivotField showAll="0"/>
    <pivotField numFmtId="1" showAll="0"/>
    <pivotField numFmtId="165" showAll="0"/>
    <pivotField numFmtId="165" showAll="0"/>
    <pivotField dataField="1" numFmtId="165" showAll="0"/>
    <pivotField dataField="1" numFmtId="165" showAll="0"/>
    <pivotField dataField="1" numFmtId="165" showAll="0"/>
    <pivotField axis="axisRow" showAll="0">
      <items count="13">
        <item x="1"/>
        <item x="7"/>
        <item x="4"/>
        <item x="0"/>
        <item x="8"/>
        <item x="3"/>
        <item x="11"/>
        <item x="9"/>
        <item x="5"/>
        <item x="6"/>
        <item x="2"/>
        <item x="10"/>
        <item t="default"/>
      </items>
    </pivotField>
    <pivotField showAll="0">
      <items count="4">
        <item x="1"/>
        <item x="2"/>
        <item x="0"/>
        <item t="default"/>
      </items>
    </pivotField>
    <pivotField showAll="0" defaultSubtotal="0"/>
    <pivotField showAll="0" defaultSubtotal="0"/>
    <pivotField showAll="0" defaultSubtotal="0">
      <items count="5">
        <item h="1" x="0"/>
        <item x="1"/>
        <item h="1" x="2"/>
        <item x="3"/>
        <item h="1" x="4"/>
      </items>
    </pivotField>
  </pivotFields>
  <rowFields count="1">
    <field x="1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Total_Penjualan" fld="9" baseField="0" baseItem="0" numFmtId="165"/>
    <dataField name="Sum of Margin" fld="8" baseField="0" baseItem="0" numFmtId="165"/>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D5DE3D-30E4-4246-BF43-3920C75834FD}"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61:D245" firstHeaderRow="0" firstDataRow="1" firstDataCol="1"/>
  <pivotFields count="16">
    <pivotField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axis="axisRow" showAll="0">
      <items count="241">
        <item x="176"/>
        <item x="182"/>
        <item x="206"/>
        <item x="110"/>
        <item x="212"/>
        <item x="144"/>
        <item x="229"/>
        <item x="27"/>
        <item x="34"/>
        <item x="117"/>
        <item x="47"/>
        <item x="96"/>
        <item x="12"/>
        <item x="222"/>
        <item x="2"/>
        <item x="123"/>
        <item x="89"/>
        <item x="163"/>
        <item x="156"/>
        <item x="20"/>
        <item x="54"/>
        <item x="75"/>
        <item x="218"/>
        <item x="130"/>
        <item x="41"/>
        <item x="170"/>
        <item x="199"/>
        <item x="61"/>
        <item x="151"/>
        <item x="226"/>
        <item x="137"/>
        <item x="189"/>
        <item x="103"/>
        <item x="68"/>
        <item x="82"/>
        <item x="132"/>
        <item x="98"/>
        <item x="146"/>
        <item x="36"/>
        <item x="194"/>
        <item x="91"/>
        <item x="16"/>
        <item x="230"/>
        <item x="49"/>
        <item x="22"/>
        <item x="70"/>
        <item x="125"/>
        <item x="158"/>
        <item x="29"/>
        <item x="84"/>
        <item x="214"/>
        <item x="178"/>
        <item x="201"/>
        <item x="184"/>
        <item x="208"/>
        <item x="77"/>
        <item x="236"/>
        <item x="63"/>
        <item x="165"/>
        <item x="139"/>
        <item x="119"/>
        <item x="171"/>
        <item x="105"/>
        <item x="56"/>
        <item x="220"/>
        <item x="112"/>
        <item x="187"/>
        <item x="87"/>
        <item x="94"/>
        <item x="122"/>
        <item x="45"/>
        <item x="210"/>
        <item x="149"/>
        <item x="180"/>
        <item x="13"/>
        <item x="217"/>
        <item x="142"/>
        <item x="18"/>
        <item x="168"/>
        <item x="115"/>
        <item x="73"/>
        <item x="135"/>
        <item x="59"/>
        <item x="234"/>
        <item x="191"/>
        <item x="161"/>
        <item x="52"/>
        <item x="80"/>
        <item x="108"/>
        <item x="39"/>
        <item x="174"/>
        <item x="6"/>
        <item x="32"/>
        <item x="204"/>
        <item x="25"/>
        <item x="197"/>
        <item x="154"/>
        <item x="66"/>
        <item x="128"/>
        <item x="101"/>
        <item x="121"/>
        <item x="44"/>
        <item x="216"/>
        <item x="72"/>
        <item x="5"/>
        <item x="100"/>
        <item x="186"/>
        <item x="148"/>
        <item x="141"/>
        <item x="24"/>
        <item x="86"/>
        <item x="127"/>
        <item x="196"/>
        <item x="17"/>
        <item x="237"/>
        <item x="203"/>
        <item x="167"/>
        <item x="173"/>
        <item x="107"/>
        <item x="11"/>
        <item x="232"/>
        <item x="58"/>
        <item x="134"/>
        <item x="93"/>
        <item x="114"/>
        <item x="31"/>
        <item x="239"/>
        <item x="51"/>
        <item x="65"/>
        <item x="38"/>
        <item x="221"/>
        <item x="160"/>
        <item x="79"/>
        <item x="209"/>
        <item x="1"/>
        <item x="4"/>
        <item x="225"/>
        <item x="113"/>
        <item x="198"/>
        <item x="33"/>
        <item x="227"/>
        <item x="95"/>
        <item x="0"/>
        <item x="26"/>
        <item x="175"/>
        <item x="147"/>
        <item x="99"/>
        <item x="64"/>
        <item x="129"/>
        <item x="120"/>
        <item x="215"/>
        <item x="159"/>
        <item x="81"/>
        <item x="136"/>
        <item x="133"/>
        <item x="106"/>
        <item x="155"/>
        <item x="78"/>
        <item x="102"/>
        <item x="10"/>
        <item x="140"/>
        <item x="228"/>
        <item x="238"/>
        <item x="150"/>
        <item x="109"/>
        <item x="195"/>
        <item x="40"/>
        <item x="92"/>
        <item x="23"/>
        <item x="30"/>
        <item x="153"/>
        <item x="231"/>
        <item x="60"/>
        <item x="181"/>
        <item x="205"/>
        <item x="71"/>
        <item x="169"/>
        <item x="88"/>
        <item x="43"/>
        <item x="14"/>
        <item x="46"/>
        <item x="188"/>
        <item x="224"/>
        <item x="179"/>
        <item x="192"/>
        <item x="74"/>
        <item x="185"/>
        <item x="126"/>
        <item x="190"/>
        <item x="172"/>
        <item x="85"/>
        <item x="53"/>
        <item x="143"/>
        <item x="7"/>
        <item x="211"/>
        <item x="57"/>
        <item x="8"/>
        <item x="166"/>
        <item x="202"/>
        <item x="37"/>
        <item x="19"/>
        <item x="235"/>
        <item x="116"/>
        <item x="162"/>
        <item x="50"/>
        <item x="233"/>
        <item x="67"/>
        <item x="35"/>
        <item x="69"/>
        <item x="193"/>
        <item x="157"/>
        <item x="62"/>
        <item x="152"/>
        <item x="207"/>
        <item x="111"/>
        <item x="118"/>
        <item x="48"/>
        <item x="9"/>
        <item x="183"/>
        <item x="131"/>
        <item x="124"/>
        <item x="145"/>
        <item x="55"/>
        <item x="219"/>
        <item x="3"/>
        <item x="164"/>
        <item x="223"/>
        <item x="28"/>
        <item x="177"/>
        <item x="76"/>
        <item x="83"/>
        <item x="21"/>
        <item x="97"/>
        <item x="15"/>
        <item x="200"/>
        <item x="42"/>
        <item x="213"/>
        <item x="104"/>
        <item x="90"/>
        <item x="138"/>
        <item t="default"/>
      </items>
    </pivotField>
    <pivotField showAll="0"/>
    <pivotField showAll="0"/>
    <pivotField numFmtId="1" showAll="0"/>
    <pivotField numFmtId="165" showAll="0"/>
    <pivotField numFmtId="165" showAll="0"/>
    <pivotField dataField="1" numFmtId="165" showAll="0"/>
    <pivotField dataField="1" numFmtId="165" showAll="0"/>
    <pivotField dataField="1" numFmtId="165" showAll="0"/>
    <pivotField showAll="0"/>
    <pivotField showAll="0">
      <items count="4">
        <item x="1"/>
        <item x="2"/>
        <item x="0"/>
        <item t="default"/>
      </items>
    </pivotField>
    <pivotField showAll="0" defaultSubtotal="0"/>
    <pivotField showAll="0" defaultSubtotal="0"/>
    <pivotField showAll="0" defaultSubtotal="0">
      <items count="5">
        <item h="1" x="0"/>
        <item x="1"/>
        <item h="1" x="2"/>
        <item x="3"/>
        <item h="1" x="4"/>
      </items>
    </pivotField>
  </pivotFields>
  <rowFields count="1">
    <field x="2"/>
  </rowFields>
  <rowItems count="184">
    <i>
      <x/>
    </i>
    <i>
      <x v="1"/>
    </i>
    <i>
      <x v="2"/>
    </i>
    <i>
      <x v="3"/>
    </i>
    <i>
      <x v="4"/>
    </i>
    <i>
      <x v="5"/>
    </i>
    <i>
      <x v="6"/>
    </i>
    <i>
      <x v="7"/>
    </i>
    <i>
      <x v="8"/>
    </i>
    <i>
      <x v="9"/>
    </i>
    <i>
      <x v="10"/>
    </i>
    <i>
      <x v="11"/>
    </i>
    <i>
      <x v="12"/>
    </i>
    <i>
      <x v="13"/>
    </i>
    <i>
      <x v="15"/>
    </i>
    <i>
      <x v="17"/>
    </i>
    <i>
      <x v="18"/>
    </i>
    <i>
      <x v="20"/>
    </i>
    <i>
      <x v="21"/>
    </i>
    <i>
      <x v="22"/>
    </i>
    <i>
      <x v="23"/>
    </i>
    <i>
      <x v="24"/>
    </i>
    <i>
      <x v="25"/>
    </i>
    <i>
      <x v="28"/>
    </i>
    <i>
      <x v="29"/>
    </i>
    <i>
      <x v="30"/>
    </i>
    <i>
      <x v="31"/>
    </i>
    <i>
      <x v="33"/>
    </i>
    <i>
      <x v="34"/>
    </i>
    <i>
      <x v="35"/>
    </i>
    <i>
      <x v="36"/>
    </i>
    <i>
      <x v="37"/>
    </i>
    <i>
      <x v="38"/>
    </i>
    <i>
      <x v="39"/>
    </i>
    <i>
      <x v="40"/>
    </i>
    <i>
      <x v="41"/>
    </i>
    <i>
      <x v="43"/>
    </i>
    <i>
      <x v="44"/>
    </i>
    <i>
      <x v="45"/>
    </i>
    <i>
      <x v="46"/>
    </i>
    <i>
      <x v="47"/>
    </i>
    <i>
      <x v="49"/>
    </i>
    <i>
      <x v="50"/>
    </i>
    <i>
      <x v="51"/>
    </i>
    <i>
      <x v="53"/>
    </i>
    <i>
      <x v="55"/>
    </i>
    <i>
      <x v="56"/>
    </i>
    <i>
      <x v="57"/>
    </i>
    <i>
      <x v="59"/>
    </i>
    <i>
      <x v="62"/>
    </i>
    <i>
      <x v="64"/>
    </i>
    <i>
      <x v="66"/>
    </i>
    <i>
      <x v="67"/>
    </i>
    <i>
      <x v="68"/>
    </i>
    <i>
      <x v="70"/>
    </i>
    <i>
      <x v="71"/>
    </i>
    <i>
      <x v="73"/>
    </i>
    <i>
      <x v="74"/>
    </i>
    <i>
      <x v="75"/>
    </i>
    <i>
      <x v="76"/>
    </i>
    <i>
      <x v="79"/>
    </i>
    <i>
      <x v="80"/>
    </i>
    <i>
      <x v="81"/>
    </i>
    <i>
      <x v="83"/>
    </i>
    <i>
      <x v="84"/>
    </i>
    <i>
      <x v="85"/>
    </i>
    <i>
      <x v="86"/>
    </i>
    <i>
      <x v="87"/>
    </i>
    <i>
      <x v="88"/>
    </i>
    <i>
      <x v="91"/>
    </i>
    <i>
      <x v="92"/>
    </i>
    <i>
      <x v="94"/>
    </i>
    <i>
      <x v="95"/>
    </i>
    <i>
      <x v="96"/>
    </i>
    <i>
      <x v="97"/>
    </i>
    <i>
      <x v="99"/>
    </i>
    <i>
      <x v="101"/>
    </i>
    <i>
      <x v="104"/>
    </i>
    <i>
      <x v="106"/>
    </i>
    <i>
      <x v="107"/>
    </i>
    <i>
      <x v="109"/>
    </i>
    <i>
      <x v="111"/>
    </i>
    <i>
      <x v="112"/>
    </i>
    <i>
      <x v="113"/>
    </i>
    <i>
      <x v="114"/>
    </i>
    <i>
      <x v="115"/>
    </i>
    <i>
      <x v="116"/>
    </i>
    <i>
      <x v="118"/>
    </i>
    <i>
      <x v="121"/>
    </i>
    <i>
      <x v="122"/>
    </i>
    <i>
      <x v="123"/>
    </i>
    <i>
      <x v="124"/>
    </i>
    <i>
      <x v="125"/>
    </i>
    <i>
      <x v="128"/>
    </i>
    <i>
      <x v="129"/>
    </i>
    <i>
      <x v="130"/>
    </i>
    <i>
      <x v="131"/>
    </i>
    <i>
      <x v="132"/>
    </i>
    <i>
      <x v="134"/>
    </i>
    <i>
      <x v="135"/>
    </i>
    <i>
      <x v="136"/>
    </i>
    <i>
      <x v="137"/>
    </i>
    <i>
      <x v="138"/>
    </i>
    <i>
      <x v="139"/>
    </i>
    <i>
      <x v="140"/>
    </i>
    <i>
      <x v="141"/>
    </i>
    <i>
      <x v="142"/>
    </i>
    <i>
      <x v="143"/>
    </i>
    <i>
      <x v="144"/>
    </i>
    <i>
      <x v="145"/>
    </i>
    <i>
      <x v="146"/>
    </i>
    <i>
      <x v="147"/>
    </i>
    <i>
      <x v="148"/>
    </i>
    <i>
      <x v="149"/>
    </i>
    <i>
      <x v="150"/>
    </i>
    <i>
      <x v="151"/>
    </i>
    <i>
      <x v="153"/>
    </i>
    <i>
      <x v="154"/>
    </i>
    <i>
      <x v="155"/>
    </i>
    <i>
      <x v="157"/>
    </i>
    <i>
      <x v="158"/>
    </i>
    <i>
      <x v="159"/>
    </i>
    <i>
      <x v="160"/>
    </i>
    <i>
      <x v="161"/>
    </i>
    <i>
      <x v="164"/>
    </i>
    <i>
      <x v="166"/>
    </i>
    <i>
      <x v="167"/>
    </i>
    <i>
      <x v="168"/>
    </i>
    <i>
      <x v="169"/>
    </i>
    <i>
      <x v="170"/>
    </i>
    <i>
      <x v="171"/>
    </i>
    <i>
      <x v="172"/>
    </i>
    <i>
      <x v="173"/>
    </i>
    <i>
      <x v="174"/>
    </i>
    <i>
      <x v="175"/>
    </i>
    <i>
      <x v="177"/>
    </i>
    <i>
      <x v="178"/>
    </i>
    <i>
      <x v="179"/>
    </i>
    <i>
      <x v="180"/>
    </i>
    <i>
      <x v="181"/>
    </i>
    <i>
      <x v="182"/>
    </i>
    <i>
      <x v="186"/>
    </i>
    <i>
      <x v="187"/>
    </i>
    <i>
      <x v="188"/>
    </i>
    <i>
      <x v="189"/>
    </i>
    <i>
      <x v="190"/>
    </i>
    <i>
      <x v="191"/>
    </i>
    <i>
      <x v="193"/>
    </i>
    <i>
      <x v="195"/>
    </i>
    <i>
      <x v="196"/>
    </i>
    <i>
      <x v="197"/>
    </i>
    <i>
      <x v="198"/>
    </i>
    <i>
      <x v="199"/>
    </i>
    <i>
      <x v="200"/>
    </i>
    <i>
      <x v="201"/>
    </i>
    <i>
      <x v="202"/>
    </i>
    <i>
      <x v="204"/>
    </i>
    <i>
      <x v="205"/>
    </i>
    <i>
      <x v="206"/>
    </i>
    <i>
      <x v="210"/>
    </i>
    <i>
      <x v="211"/>
    </i>
    <i>
      <x v="213"/>
    </i>
    <i>
      <x v="214"/>
    </i>
    <i>
      <x v="215"/>
    </i>
    <i>
      <x v="216"/>
    </i>
    <i>
      <x v="217"/>
    </i>
    <i>
      <x v="218"/>
    </i>
    <i>
      <x v="219"/>
    </i>
    <i>
      <x v="220"/>
    </i>
    <i>
      <x v="221"/>
    </i>
    <i>
      <x v="222"/>
    </i>
    <i>
      <x v="224"/>
    </i>
    <i>
      <x v="225"/>
    </i>
    <i>
      <x v="227"/>
    </i>
    <i>
      <x v="228"/>
    </i>
    <i>
      <x v="230"/>
    </i>
    <i>
      <x v="231"/>
    </i>
    <i>
      <x v="232"/>
    </i>
    <i>
      <x v="233"/>
    </i>
    <i>
      <x v="234"/>
    </i>
    <i>
      <x v="235"/>
    </i>
    <i>
      <x v="236"/>
    </i>
    <i>
      <x v="238"/>
    </i>
    <i t="grand">
      <x/>
    </i>
  </rowItems>
  <colFields count="1">
    <field x="-2"/>
  </colFields>
  <colItems count="3">
    <i>
      <x/>
    </i>
    <i i="1">
      <x v="1"/>
    </i>
    <i i="2">
      <x v="2"/>
    </i>
  </colItems>
  <dataFields count="3">
    <dataField name="Sum of Total_Penjualan" fld="9" baseField="0" baseItem="0" numFmtId="165"/>
    <dataField name="Sum of Profit" fld="10" baseField="0" baseItem="0" numFmtId="165"/>
    <dataField name="Sum of Margin" fld="8" baseField="0" baseItem="0" numFmtId="165"/>
  </dataFields>
  <chartFormats count="6">
    <chartFormat chart="0" format="0"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1680D0-C15F-4AE8-80F0-36C41E8C9D96}" name="MetodePemabayara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3:B57" firstHeaderRow="1" firstDataRow="1" firstDataCol="1"/>
  <pivotFields count="16">
    <pivotField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showAll="0"/>
    <pivotField showAll="0"/>
    <pivotField showAll="0"/>
    <pivotField numFmtId="1" showAll="0"/>
    <pivotField numFmtId="165" showAll="0"/>
    <pivotField numFmtId="165" showAll="0"/>
    <pivotField numFmtId="165" showAll="0"/>
    <pivotField dataField="1" numFmtId="165" showAll="0"/>
    <pivotField numFmtId="165" showAll="0"/>
    <pivotField showAll="0"/>
    <pivotField axis="axisRow" showAll="0">
      <items count="4">
        <item x="1"/>
        <item x="2"/>
        <item x="0"/>
        <item t="default"/>
      </items>
    </pivotField>
    <pivotField showAll="0" defaultSubtotal="0"/>
    <pivotField showAll="0" defaultSubtotal="0"/>
    <pivotField showAll="0" defaultSubtotal="0">
      <items count="5">
        <item h="1" x="0"/>
        <item x="1"/>
        <item h="1" x="2"/>
        <item x="3"/>
        <item h="1" x="4"/>
      </items>
    </pivotField>
  </pivotFields>
  <rowFields count="1">
    <field x="12"/>
  </rowFields>
  <rowItems count="4">
    <i>
      <x/>
    </i>
    <i>
      <x v="1"/>
    </i>
    <i>
      <x v="2"/>
    </i>
    <i t="grand">
      <x/>
    </i>
  </rowItems>
  <colItems count="1">
    <i/>
  </colItems>
  <dataFields count="1">
    <dataField name="Sum of Total_Penjualan" fld="9" baseField="0" baseItem="0" numFmtId="165"/>
  </dataFields>
  <chartFormats count="10">
    <chartFormat chart="0" format="0"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2" count="1" selected="0">
            <x v="0"/>
          </reference>
        </references>
      </pivotArea>
    </chartFormat>
    <chartFormat chart="17" format="3">
      <pivotArea type="data" outline="0" fieldPosition="0">
        <references count="2">
          <reference field="4294967294" count="1" selected="0">
            <x v="0"/>
          </reference>
          <reference field="12" count="1" selected="0">
            <x v="1"/>
          </reference>
        </references>
      </pivotArea>
    </chartFormat>
    <chartFormat chart="17" format="4">
      <pivotArea type="data" outline="0" fieldPosition="0">
        <references count="2">
          <reference field="4294967294" count="1" selected="0">
            <x v="0"/>
          </reference>
          <reference field="12" count="1" selected="0">
            <x v="2"/>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12" count="1" selected="0">
            <x v="1"/>
          </reference>
        </references>
      </pivotArea>
    </chartFormat>
    <chartFormat chart="19" format="11">
      <pivotArea type="data" outline="0" fieldPosition="0">
        <references count="2">
          <reference field="4294967294" count="1" selected="0">
            <x v="0"/>
          </reference>
          <reference field="12" count="1" selected="0">
            <x v="0"/>
          </reference>
        </references>
      </pivotArea>
    </chartFormat>
    <chartFormat chart="19" format="1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0C2E18-524A-499F-8EED-92B8638E28D9}"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16:F29" firstHeaderRow="1" firstDataRow="1" firstDataCol="1"/>
  <pivotFields count="16">
    <pivotField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showAll="0"/>
    <pivotField showAll="0"/>
    <pivotField showAll="0"/>
    <pivotField numFmtId="1" showAll="0"/>
    <pivotField numFmtId="165" showAll="0"/>
    <pivotField numFmtId="165" showAll="0"/>
    <pivotField numFmtId="165" showAll="0"/>
    <pivotField dataField="1" numFmtId="165" showAll="0"/>
    <pivotField numFmtId="165" showAll="0"/>
    <pivotField axis="axisRow" showAll="0">
      <items count="13">
        <item x="1"/>
        <item x="7"/>
        <item x="4"/>
        <item x="0"/>
        <item x="8"/>
        <item x="3"/>
        <item x="11"/>
        <item x="9"/>
        <item x="5"/>
        <item x="6"/>
        <item x="2"/>
        <item x="10"/>
        <item t="default"/>
      </items>
    </pivotField>
    <pivotField showAll="0">
      <items count="4">
        <item x="1"/>
        <item x="2"/>
        <item x="0"/>
        <item t="default"/>
      </items>
    </pivotField>
    <pivotField showAll="0" defaultSubtotal="0"/>
    <pivotField showAll="0" defaultSubtotal="0"/>
    <pivotField showAll="0" defaultSubtotal="0">
      <items count="5">
        <item h="1" x="0"/>
        <item x="1"/>
        <item h="1" x="2"/>
        <item x="3"/>
        <item h="1" x="4"/>
      </items>
    </pivotField>
  </pivotFields>
  <rowFields count="1">
    <field x="11"/>
  </rowFields>
  <rowItems count="13">
    <i>
      <x/>
    </i>
    <i>
      <x v="1"/>
    </i>
    <i>
      <x v="2"/>
    </i>
    <i>
      <x v="3"/>
    </i>
    <i>
      <x v="4"/>
    </i>
    <i>
      <x v="5"/>
    </i>
    <i>
      <x v="6"/>
    </i>
    <i>
      <x v="7"/>
    </i>
    <i>
      <x v="8"/>
    </i>
    <i>
      <x v="9"/>
    </i>
    <i>
      <x v="10"/>
    </i>
    <i>
      <x v="11"/>
    </i>
    <i t="grand">
      <x/>
    </i>
  </rowItems>
  <colItems count="1">
    <i/>
  </colItems>
  <dataFields count="1">
    <dataField name="Sum of Total_Penjualan"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3883F0-4C58-4CD1-ACD4-3D55A0ACD335}" name="PivotProfi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A37" firstHeaderRow="1" firstDataRow="1" firstDataCol="0"/>
  <pivotFields count="16">
    <pivotField numFmtId="14" showAll="0">
      <items count="529">
        <item m="1" x="482"/>
        <item m="1" x="484"/>
        <item m="1" x="485"/>
        <item m="1" x="487"/>
        <item m="1" x="488"/>
        <item m="1" x="490"/>
        <item m="1" x="491"/>
        <item m="1" x="493"/>
        <item m="1" x="494"/>
        <item m="1" x="496"/>
        <item m="1" x="497"/>
        <item m="1" x="499"/>
        <item m="1" x="500"/>
        <item m="1" x="502"/>
        <item m="1" x="503"/>
        <item m="1" x="505"/>
        <item m="1" x="506"/>
        <item m="1" x="508"/>
        <item m="1" x="509"/>
        <item m="1" x="511"/>
        <item m="1" x="512"/>
        <item m="1" x="514"/>
        <item m="1" x="515"/>
        <item m="1" x="517"/>
        <item m="1" x="518"/>
        <item m="1" x="520"/>
        <item m="1" x="521"/>
        <item m="1" x="523"/>
        <item m="1" x="524"/>
        <item m="1" x="526"/>
        <item m="1" x="527"/>
        <item x="186"/>
        <item m="1" x="261"/>
        <item x="55"/>
        <item m="1" x="262"/>
        <item x="178"/>
        <item x="129"/>
        <item x="202"/>
        <item m="1" x="263"/>
        <item x="69"/>
        <item x="8"/>
        <item x="83"/>
        <item m="1" x="264"/>
        <item x="49"/>
        <item x="128"/>
        <item x="249"/>
        <item x="64"/>
        <item x="228"/>
        <item x="245"/>
        <item x="24"/>
        <item x="152"/>
        <item x="106"/>
        <item m="1" x="265"/>
        <item x="244"/>
        <item m="1" x="266"/>
        <item x="156"/>
        <item m="1" x="267"/>
        <item m="1" x="268"/>
        <item x="29"/>
        <item x="204"/>
        <item x="35"/>
        <item x="115"/>
        <item x="248"/>
        <item x="208"/>
        <item x="150"/>
        <item m="1" x="269"/>
        <item x="133"/>
        <item x="16"/>
        <item x="146"/>
        <item x="141"/>
        <item x="109"/>
        <item x="91"/>
        <item x="99"/>
        <item x="38"/>
        <item x="215"/>
        <item x="92"/>
        <item m="1" x="270"/>
        <item m="1" x="271"/>
        <item x="76"/>
        <item x="87"/>
        <item x="47"/>
        <item x="102"/>
        <item x="46"/>
        <item m="1" x="272"/>
        <item x="170"/>
        <item x="127"/>
        <item x="13"/>
        <item x="81"/>
        <item x="120"/>
        <item x="131"/>
        <item x="177"/>
        <item x="195"/>
        <item x="149"/>
        <item m="1" x="273"/>
        <item x="126"/>
        <item x="247"/>
        <item x="54"/>
        <item x="33"/>
        <item m="1" x="274"/>
        <item x="241"/>
        <item m="1" x="275"/>
        <item x="53"/>
        <item m="1" x="276"/>
        <item m="1" x="277"/>
        <item x="51"/>
        <item x="221"/>
        <item x="137"/>
        <item x="6"/>
        <item m="1" x="278"/>
        <item x="220"/>
        <item x="122"/>
        <item x="23"/>
        <item x="240"/>
        <item m="1" x="279"/>
        <item x="3"/>
        <item x="174"/>
        <item m="1" x="280"/>
        <item x="173"/>
        <item x="4"/>
        <item x="86"/>
        <item x="253"/>
        <item x="232"/>
        <item m="1" x="281"/>
        <item m="1" x="282"/>
        <item x="229"/>
        <item x="78"/>
        <item x="119"/>
        <item x="31"/>
        <item x="95"/>
        <item x="168"/>
        <item x="9"/>
        <item x="190"/>
        <item x="124"/>
        <item m="1" x="283"/>
        <item x="62"/>
        <item m="1" x="284"/>
        <item x="105"/>
        <item x="144"/>
        <item x="171"/>
        <item x="187"/>
        <item m="1" x="285"/>
        <item x="199"/>
        <item x="145"/>
        <item m="1" x="286"/>
        <item x="84"/>
        <item x="89"/>
        <item x="200"/>
        <item m="1" x="287"/>
        <item x="223"/>
        <item x="237"/>
        <item m="1" x="288"/>
        <item x="163"/>
        <item x="136"/>
        <item x="39"/>
        <item x="193"/>
        <item m="1" x="289"/>
        <item x="12"/>
        <item x="14"/>
        <item m="1" x="290"/>
        <item x="98"/>
        <item x="217"/>
        <item m="1" x="291"/>
        <item x="21"/>
        <item m="1" x="292"/>
        <item x="182"/>
        <item x="153"/>
        <item x="139"/>
        <item m="1" x="293"/>
        <item x="117"/>
        <item x="121"/>
        <item x="18"/>
        <item x="233"/>
        <item x="212"/>
        <item m="1" x="294"/>
        <item x="224"/>
        <item m="1" x="295"/>
        <item x="189"/>
        <item x="20"/>
        <item x="108"/>
        <item x="205"/>
        <item x="197"/>
        <item x="198"/>
        <item m="1" x="296"/>
        <item x="254"/>
        <item x="238"/>
        <item x="183"/>
        <item x="67"/>
        <item x="143"/>
        <item x="59"/>
        <item m="1" x="297"/>
        <item x="166"/>
        <item x="52"/>
        <item m="1" x="298"/>
        <item x="11"/>
        <item m="1" x="299"/>
        <item x="147"/>
        <item x="184"/>
        <item x="43"/>
        <item m="1" x="300"/>
        <item x="61"/>
        <item x="142"/>
        <item m="1" x="301"/>
        <item x="75"/>
        <item x="250"/>
        <item x="230"/>
        <item x="71"/>
        <item m="1" x="302"/>
        <item x="130"/>
        <item x="161"/>
        <item x="73"/>
        <item x="30"/>
        <item m="1" x="303"/>
        <item x="255"/>
        <item m="1" x="304"/>
        <item x="160"/>
        <item x="167"/>
        <item m="1" x="305"/>
        <item x="2"/>
        <item m="1" x="306"/>
        <item x="80"/>
        <item m="1" x="307"/>
        <item x="77"/>
        <item x="101"/>
        <item x="259"/>
        <item x="140"/>
        <item x="134"/>
        <item x="116"/>
        <item m="1" x="308"/>
        <item x="164"/>
        <item x="154"/>
        <item x="85"/>
        <item x="25"/>
        <item m="1" x="309"/>
        <item x="239"/>
        <item x="196"/>
        <item x="22"/>
        <item x="258"/>
        <item m="1" x="310"/>
        <item x="191"/>
        <item x="68"/>
        <item x="17"/>
        <item m="1" x="311"/>
        <item x="7"/>
        <item x="56"/>
        <item m="1" x="312"/>
        <item x="157"/>
        <item x="132"/>
        <item x="88"/>
        <item x="114"/>
        <item x="251"/>
        <item x="252"/>
        <item x="231"/>
        <item x="36"/>
        <item m="1" x="313"/>
        <item x="185"/>
        <item x="216"/>
        <item m="1" x="314"/>
        <item x="257"/>
        <item x="40"/>
        <item x="0"/>
        <item m="1" x="315"/>
        <item x="82"/>
        <item x="58"/>
        <item m="1" x="316"/>
        <item x="1"/>
        <item x="201"/>
        <item m="1" x="317"/>
        <item m="1" x="318"/>
        <item x="112"/>
        <item x="66"/>
        <item x="79"/>
        <item m="1" x="319"/>
        <item x="188"/>
        <item x="246"/>
        <item x="176"/>
        <item m="1" x="320"/>
        <item m="1" x="321"/>
        <item x="26"/>
        <item m="1" x="322"/>
        <item m="1" x="323"/>
        <item x="169"/>
        <item x="15"/>
        <item x="97"/>
        <item x="123"/>
        <item x="94"/>
        <item m="1" x="324"/>
        <item x="219"/>
        <item x="256"/>
        <item x="179"/>
        <item x="213"/>
        <item x="181"/>
        <item m="1" x="325"/>
        <item x="37"/>
        <item x="48"/>
        <item x="209"/>
        <item x="165"/>
        <item x="151"/>
        <item x="44"/>
        <item x="194"/>
        <item x="172"/>
        <item x="138"/>
        <item x="125"/>
        <item x="104"/>
        <item x="110"/>
        <item x="10"/>
        <item x="28"/>
        <item x="226"/>
        <item x="155"/>
        <item x="50"/>
        <item x="42"/>
        <item x="27"/>
        <item m="1" x="326"/>
        <item x="72"/>
        <item m="1" x="327"/>
        <item x="235"/>
        <item x="57"/>
        <item x="192"/>
        <item x="218"/>
        <item x="45"/>
        <item x="180"/>
        <item m="1" x="328"/>
        <item x="222"/>
        <item x="211"/>
        <item x="74"/>
        <item x="242"/>
        <item x="100"/>
        <item x="225"/>
        <item x="207"/>
        <item x="159"/>
        <item m="1" x="329"/>
        <item x="41"/>
        <item x="107"/>
        <item x="19"/>
        <item x="203"/>
        <item x="236"/>
        <item m="1" x="330"/>
        <item x="111"/>
        <item m="1" x="331"/>
        <item x="34"/>
        <item x="65"/>
        <item x="214"/>
        <item m="1" x="332"/>
        <item x="96"/>
        <item x="260"/>
        <item x="70"/>
        <item m="1" x="333"/>
        <item x="158"/>
        <item m="1" x="334"/>
        <item x="162"/>
        <item x="90"/>
        <item x="60"/>
        <item m="1" x="335"/>
        <item x="206"/>
        <item x="175"/>
        <item m="1" x="336"/>
        <item x="243"/>
        <item x="135"/>
        <item x="234"/>
        <item x="93"/>
        <item x="63"/>
        <item x="227"/>
        <item x="103"/>
        <item x="5"/>
        <item m="1" x="337"/>
        <item x="118"/>
        <item x="210"/>
        <item x="32"/>
        <item x="148"/>
        <item x="113"/>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6"/>
        <item m="1" x="467"/>
        <item m="1" x="469"/>
        <item m="1" x="470"/>
        <item m="1" x="472"/>
        <item m="1" x="473"/>
        <item m="1" x="475"/>
        <item m="1" x="476"/>
        <item m="1" x="478"/>
        <item m="1" x="479"/>
        <item m="1" x="481"/>
        <item m="1" x="483"/>
        <item m="1" x="486"/>
        <item m="1" x="489"/>
        <item m="1" x="492"/>
        <item m="1" x="495"/>
        <item m="1" x="498"/>
        <item m="1" x="501"/>
        <item m="1" x="504"/>
        <item m="1" x="507"/>
        <item m="1" x="510"/>
        <item m="1" x="513"/>
        <item m="1" x="516"/>
        <item m="1" x="519"/>
        <item m="1" x="522"/>
        <item m="1" x="525"/>
        <item m="1" x="465"/>
        <item m="1" x="468"/>
        <item m="1" x="471"/>
        <item m="1" x="474"/>
        <item m="1" x="477"/>
        <item m="1" x="480"/>
        <item t="default"/>
      </items>
    </pivotField>
    <pivotField showAll="0"/>
    <pivotField showAll="0"/>
    <pivotField showAll="0"/>
    <pivotField showAll="0"/>
    <pivotField numFmtId="1" showAll="0"/>
    <pivotField numFmtId="165" showAll="0"/>
    <pivotField numFmtId="165" showAll="0"/>
    <pivotField numFmtId="165" showAll="0"/>
    <pivotField numFmtId="165" showAll="0"/>
    <pivotField dataField="1" numFmtId="165" showAll="0"/>
    <pivotField showAll="0"/>
    <pivotField showAll="0">
      <items count="4">
        <item x="1"/>
        <item x="2"/>
        <item x="0"/>
        <item t="default"/>
      </items>
    </pivotField>
    <pivotField showAll="0" defaultSubtotal="0"/>
    <pivotField showAll="0" defaultSubtotal="0"/>
    <pivotField showAll="0" defaultSubtotal="0">
      <items count="5">
        <item h="1" x="0"/>
        <item x="1"/>
        <item h="1" x="2"/>
        <item x="3"/>
        <item h="1" x="4"/>
      </items>
    </pivotField>
  </pivotFields>
  <rowItems count="1">
    <i/>
  </rowItems>
  <colItems count="1">
    <i/>
  </colItems>
  <dataFields count="1">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Produk" xr10:uid="{0F07F6C7-CC3F-4699-B85F-AE9393AF8AED}" sourceName="Kategori_Produk">
  <data>
    <tabular pivotCacheId="1515889136">
      <items count="6">
        <i x="2" s="1"/>
        <i x="3"/>
        <i x="5"/>
        <i x="0"/>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ta" xr10:uid="{7789F86A-FDFC-4CA8-B53F-30663F89E969}" sourceName="Kota">
  <data>
    <tabular pivotCacheId="1515889136">
      <items count="12">
        <i x="1" s="1"/>
        <i x="7" s="1"/>
        <i x="4" s="1"/>
        <i x="0" s="1"/>
        <i x="8" s="1"/>
        <i x="3" s="1"/>
        <i x="11" s="1"/>
        <i x="9" s="1"/>
        <i x="5" s="1"/>
        <i x="6" s="1"/>
        <i x="2"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anggal" xr10:uid="{ACF2D081-642D-4E36-83BC-E4458277E594}" sourceName="Years (Tanggal)">
  <pivotTables>
    <pivotTable tabId="14" name="PivotTotalPenjualandanProfit"/>
    <pivotTable tabId="14" name="TotalPenjualan"/>
    <pivotTable tabId="14" name="PivotProfit"/>
    <pivotTable tabId="14" name="PivotTotalProdukTerjual"/>
    <pivotTable tabId="14" name="PivotTable1"/>
    <pivotTable tabId="14" name="MetodePemabayaran"/>
    <pivotTable tabId="14" name="PivotTable3"/>
    <pivotTable tabId="14" name="PivotTable7"/>
    <pivotTable tabId="14" name="PivotTable4"/>
    <pivotTable tabId="14" name="PivotTable5"/>
    <pivotTable tabId="14" name="PivotTable8"/>
  </pivotTables>
  <data>
    <tabular pivotCacheId="1515889136">
      <items count="5">
        <i x="1" s="1"/>
        <i x="2"/>
        <i x="3" s="1"/>
        <i x="0" nd="1"/>
        <i x="4"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ode_Pembayaran" xr10:uid="{383BF168-2382-4AB5-9960-C0F0FC944F9E}" sourceName="Metode_Pembayaran">
  <pivotTables>
    <pivotTable tabId="14" name="MetodePemabayaran"/>
    <pivotTable tabId="14" name="PivotProfit"/>
    <pivotTable tabId="14" name="PivotTable1"/>
    <pivotTable tabId="14" name="PivotTable3"/>
    <pivotTable tabId="14" name="PivotTable7"/>
    <pivotTable tabId="14" name="PivotTotalPenjualandanProfit"/>
    <pivotTable tabId="14" name="PivotTotalProdukTerjual"/>
    <pivotTable tabId="14" name="TotalPenjualan"/>
    <pivotTable tabId="14" name="PivotTable4"/>
    <pivotTable tabId="14" name="PivotTable5"/>
    <pivotTable tabId="14" name="PivotTable8"/>
  </pivotTables>
  <data>
    <tabular pivotCacheId="151588913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hun 1" xr10:uid="{BBE2B6D3-BBC7-4AD1-9058-94B9A34A8FB2}" cache="Slicer_Years__Tanggal" caption="Years (Tanggal)" columnCount="3" showCaption="0" style="SlicerStyleLight3" rowHeight="360000"/>
  <slicer name="Metode_Pembayaran 1" xr10:uid="{D85BF3C9-FD8B-4185-A1A5-BC09AEACADA4}" cache="Slicer_Metode_Pembayaran" caption="Metode_Pembayaran" columnCount="3" showCaption="0"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_Produk" xr10:uid="{394ADC79-59C3-4308-A66C-289E377DD7B2}" cache="Slicer_Kategori_Produk" caption="Kategori_Produk" showCaption="0" rowHeight="241300"/>
  <slicer name="Kota" xr10:uid="{2002E13B-1778-4285-ABE9-7E5ACA1F9B95}" cache="Slicer_Kota" caption="Kota" rowHeight="241300"/>
  <slicer name="Metode_Pembayaran" xr10:uid="{378F1F98-7D13-46E5-BB84-3F2C11219750}" cache="Slicer_Metode_Pembayaran" caption="Metode_Pembayaran" columnCount="3"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C5C6940-6FE4-419C-9112-A69947934F4D}" name="Table58" displayName="Table58" ref="J28:M36" headerRowDxfId="29" dataDxfId="28" totalsRowDxfId="27">
  <autoFilter ref="J28:M36" xr:uid="{9C5C6940-6FE4-419C-9112-A69947934F4D}">
    <filterColumn colId="0" hiddenButton="1"/>
    <filterColumn colId="1" hiddenButton="1"/>
    <filterColumn colId="2" hiddenButton="1"/>
    <filterColumn colId="3" hiddenButton="1"/>
  </autoFilter>
  <tableColumns count="4">
    <tableColumn id="1" xr3:uid="{188775F6-1691-4910-A02C-C18585728823}" name="Medan" totalsRowLabel="Total" dataDxfId="26">
      <calculatedColumnFormula>PivotTable!A3</calculatedColumnFormula>
    </tableColumn>
    <tableColumn id="2" xr3:uid="{704F77FF-1D54-458B-A8D7-93A98FFA4773}" name="Total Penjualan" dataDxfId="25">
      <calculatedColumnFormula>GETPIVOTDATA("Sum of Total_Penjualan",PivotTable!$A$2,"Kota",Table58[[#This Row],[Medan]])</calculatedColumnFormula>
    </tableColumn>
    <tableColumn id="3" xr3:uid="{324A658D-0F55-4949-8630-4565E3005B56}" name="Profit" dataDxfId="24">
      <calculatedColumnFormula>GETPIVOTDATA("Sum of Profit",PivotTable!$A$2,"Kota",Table58[[#This Row],[Medan]])</calculatedColumnFormula>
    </tableColumn>
    <tableColumn id="4" xr3:uid="{4B803BC8-C72B-461A-9C9F-E2D51B2FCFE9}" name="Margin" totalsRowFunction="count" dataDxfId="23">
      <calculatedColumnFormula>GETPIVOTDATA("Sum of Margin",PivotTable!$A$2,"Kota",Table58[[#This Row],[Medan]])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48BCCA-6273-47DB-892A-8EBF31470F68}" name="Table3" displayName="Table3" ref="A1:D49" totalsRowShown="0">
  <autoFilter ref="A1:D49" xr:uid="{EC48BCCA-6273-47DB-892A-8EBF31470F68}"/>
  <tableColumns count="4">
    <tableColumn id="1" xr3:uid="{36B9291D-32D2-4FA6-B8BC-AD5F7F5B813C}" name="Tanggal" dataDxfId="3"/>
    <tableColumn id="2" xr3:uid="{7E13FAAB-939D-4DDC-B935-81B331280E08}" name="Prediksi_Penjualan" dataDxfId="2"/>
    <tableColumn id="3" xr3:uid="{03FEFF68-5C70-445B-A33F-A7AB2CBF4FD4}" name="Batas_Bawah" dataDxfId="1"/>
    <tableColumn id="4" xr3:uid="{4B3AC907-624C-4513-878C-E89E7CA104D9}" name="Batas_Atas"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43C24D-91F4-4497-B68B-6E96AA131511}" name="DataClean" displayName="DataClean" ref="A1:N301" totalsRowShown="0">
  <autoFilter ref="A1:N301" xr:uid="{0343C24D-91F4-4497-B68B-6E96AA131511}"/>
  <tableColumns count="14">
    <tableColumn id="1" xr3:uid="{020872DA-B36B-478D-98CF-32A7FD001A8D}" name="Tanggal" dataDxfId="22"/>
    <tableColumn id="16" xr3:uid="{DEC8080C-F04C-4EAE-A947-402CB9334505}" name="Tahun" dataDxfId="21">
      <calculatedColumnFormula>YEAR(DataClean[[#This Row],[Tanggal]])</calculatedColumnFormula>
    </tableColumn>
    <tableColumn id="2" xr3:uid="{5AF6825F-6E9F-4EF5-AA26-0C5EB9D13352}" name="ID_Transaksi"/>
    <tableColumn id="3" xr3:uid="{725D2149-AF42-4E8C-907B-A78CB9D61E7A}" name="Nama_Toko"/>
    <tableColumn id="4" xr3:uid="{948C1961-1E71-4D22-989F-92719E0C800C}" name="Kategori_Produk"/>
    <tableColumn id="5" xr3:uid="{23CC7137-2CE7-447D-9F7C-64C135B0730D}" name="Nama Produk"/>
    <tableColumn id="6" xr3:uid="{B9E550F4-3048-40EC-99A4-C555812A7160}" name="Qty" dataDxfId="20"/>
    <tableColumn id="7" xr3:uid="{B5462BA7-A9E9-40D0-B64E-DF5E7C1872BA}" name="Harga_Satuan" dataDxfId="19"/>
    <tableColumn id="13" xr3:uid="{26E96BA8-B954-423A-99AD-C391EB1FD2FD}" name="Modal" dataDxfId="18">
      <calculatedColumnFormula>DataClean[Harga_Satuan]*0.6</calculatedColumnFormula>
    </tableColumn>
    <tableColumn id="14" xr3:uid="{19990264-DA4A-44C9-8C45-D771943B78DD}" name="Margin" dataDxfId="17">
      <calculatedColumnFormula>DataClean[Harga_Satuan]-DataClean[Modal]</calculatedColumnFormula>
    </tableColumn>
    <tableColumn id="8" xr3:uid="{8A57CF88-406B-47B6-BBC3-1114340A25E4}" name="Total_Penjualan" dataDxfId="16">
      <calculatedColumnFormula>DataClean[[#This Row],[Qty]]*DataClean[[#This Row],[Harga_Satuan]]</calculatedColumnFormula>
    </tableColumn>
    <tableColumn id="11" xr3:uid="{8447FB58-A5A3-4187-BB41-4A3740F122E7}" name="Profit" dataDxfId="15">
      <calculatedColumnFormula>DataClean[Total_Penjualan]-DataClean[Modal]</calculatedColumnFormula>
    </tableColumn>
    <tableColumn id="9" xr3:uid="{0C2A5423-6605-4FCE-9116-B26706D900E8}" name="Kota"/>
    <tableColumn id="10" xr3:uid="{2558BA58-E598-45F4-B9E5-7B39B84986F8}" name="Metode_Pembayara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7F6C3B-59BE-4C73-86E0-643D8B011C50}" name="Table1" displayName="Table1" ref="A1:J305" totalsRowShown="0" tableBorderDxfId="14">
  <autoFilter ref="A1:J305" xr:uid="{0E7F6C3B-59BE-4C73-86E0-643D8B011C50}"/>
  <tableColumns count="10">
    <tableColumn id="1" xr3:uid="{2B48ECEC-1F13-4B4C-A2AB-BB64B666B62B}" name="Tanggal" dataDxfId="13"/>
    <tableColumn id="2" xr3:uid="{AA80F484-32C1-4793-936F-D880774F79ED}" name="ID_Transaksi" dataDxfId="12"/>
    <tableColumn id="3" xr3:uid="{BB524FE5-EECD-4179-B121-52CB3F50909F}" name="Nama_Toko" dataDxfId="11"/>
    <tableColumn id="4" xr3:uid="{823E1673-23B2-4012-8257-90120127D54E}" name="Kategori_Produk" dataDxfId="10"/>
    <tableColumn id="5" xr3:uid="{3990023F-79B5-48C3-95EE-C1A37B7E51B7}" name="Nama Produk" dataDxfId="9"/>
    <tableColumn id="6" xr3:uid="{AAF3AB09-F605-48B2-9A8C-7035CF448417}" name="Qty" dataDxfId="8"/>
    <tableColumn id="7" xr3:uid="{48C4EF87-A1C8-4CA6-A896-999CA6645D1F}" name="Harga_Satuan" dataDxfId="7"/>
    <tableColumn id="8" xr3:uid="{6503AD31-D055-4169-A1E1-CAE86E7FC694}" name="Total_Penjualan" dataDxfId="6"/>
    <tableColumn id="9" xr3:uid="{A7895FF4-54CB-496D-859D-8B182BD492BD}" name="Kota" dataDxfId="5"/>
    <tableColumn id="10" xr3:uid="{BE6CC7B4-0E93-45E4-BCBE-1BB25ECBD23F}" name="Metode_Pembayaran"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C020-7651-4A44-B6A6-D772E41964A8}">
  <sheetPr>
    <pageSetUpPr fitToPage="1"/>
  </sheetPr>
  <dimension ref="A1:R38"/>
  <sheetViews>
    <sheetView showGridLines="0" tabSelected="1" topLeftCell="A15" zoomScale="61" zoomScaleNormal="89" workbookViewId="0">
      <selection activeCell="W21" sqref="W21"/>
    </sheetView>
  </sheetViews>
  <sheetFormatPr defaultRowHeight="15" x14ac:dyDescent="0.25"/>
  <cols>
    <col min="1" max="1" width="19.5703125" customWidth="1"/>
    <col min="9" max="9" width="5.140625" customWidth="1"/>
    <col min="10" max="10" width="14.140625" customWidth="1"/>
    <col min="11" max="11" width="15.7109375" customWidth="1"/>
    <col min="12" max="12" width="13.5703125" customWidth="1"/>
    <col min="13" max="13" width="14.140625" customWidth="1"/>
    <col min="23" max="23" width="17.85546875" bestFit="1" customWidth="1"/>
    <col min="24" max="24" width="29.28515625" bestFit="1" customWidth="1"/>
    <col min="25" max="25" width="17.85546875" bestFit="1" customWidth="1"/>
  </cols>
  <sheetData>
    <row r="1" spans="1:2" x14ac:dyDescent="0.25">
      <c r="A1" s="30">
        <f>GETPIVOTDATA("Total_Penjualan",PivotTable!$K$3)</f>
        <v>35936500</v>
      </c>
      <c r="B1" s="31">
        <f>GETPIVOTDATA("ID_Transaksi",PivotTable!$E$37)</f>
        <v>206</v>
      </c>
    </row>
    <row r="2" spans="1:2" x14ac:dyDescent="0.25">
      <c r="A2" s="30">
        <f>GETPIVOTDATA("Profit",PivotTable!$A$36)</f>
        <v>26745100</v>
      </c>
      <c r="B2" s="30">
        <f>GETPIVOTDATA("Margin",PivotTable!$E$31)</f>
        <v>29745.631067961163</v>
      </c>
    </row>
    <row r="3" spans="1:2" x14ac:dyDescent="0.25">
      <c r="A3" s="31"/>
      <c r="B3" s="31"/>
    </row>
    <row r="27" spans="10:13" ht="21" customHeight="1" x14ac:dyDescent="0.25">
      <c r="J27" s="28" t="s">
        <v>1606</v>
      </c>
      <c r="K27" s="29"/>
      <c r="L27" s="29"/>
      <c r="M27" s="29"/>
    </row>
    <row r="28" spans="10:13" ht="21" customHeight="1" x14ac:dyDescent="0.25">
      <c r="J28" s="25" t="s">
        <v>45</v>
      </c>
      <c r="K28" s="25" t="s">
        <v>9</v>
      </c>
      <c r="L28" s="25" t="s">
        <v>1302</v>
      </c>
      <c r="M28" s="25" t="s">
        <v>1304</v>
      </c>
    </row>
    <row r="29" spans="10:13" ht="21" customHeight="1" x14ac:dyDescent="0.25">
      <c r="J29" s="25" t="str">
        <f>PivotTable!A3</f>
        <v>Bandung</v>
      </c>
      <c r="K29" s="26">
        <f>GETPIVOTDATA("Sum of Total_Penjualan",PivotTable!$A$2,"Kota",Table58[[#This Row],[Medan]])</f>
        <v>4569000</v>
      </c>
      <c r="L29" s="26">
        <f>GETPIVOTDATA("Sum of Profit",PivotTable!$A$2,"Kota",Table58[[#This Row],[Medan]])</f>
        <v>3431700</v>
      </c>
      <c r="M29" s="26">
        <f>GETPIVOTDATA("Sum of Margin",PivotTable!$A$2,"Kota",Table58[[#This Row],[Medan]])</f>
        <v>758200</v>
      </c>
    </row>
    <row r="30" spans="10:13" ht="21" customHeight="1" x14ac:dyDescent="0.25">
      <c r="J30" s="25" t="str">
        <f>PivotTable!A4</f>
        <v>Denpasar</v>
      </c>
      <c r="K30" s="26">
        <f>GETPIVOTDATA("Sum of Total_Penjualan",PivotTable!$A$2,"Kota",Table58[[#This Row],[Medan]])</f>
        <v>2517000</v>
      </c>
      <c r="L30" s="26">
        <f>GETPIVOTDATA("Sum of Profit",PivotTable!$A$2,"Kota",Table58[[#This Row],[Medan]])</f>
        <v>2020800</v>
      </c>
      <c r="M30" s="26">
        <f>GETPIVOTDATA("Sum of Margin",PivotTable!$A$2,"Kota",Table58[[#This Row],[Medan]])</f>
        <v>330800</v>
      </c>
    </row>
    <row r="31" spans="10:13" ht="21" customHeight="1" x14ac:dyDescent="0.25">
      <c r="J31" s="25" t="str">
        <f>PivotTable!A5</f>
        <v>Depok</v>
      </c>
      <c r="K31" s="26">
        <f>GETPIVOTDATA("Sum of Total_Penjualan",PivotTable!$A$2,"Kota",Table58[[#This Row],[Medan]])</f>
        <v>1566000</v>
      </c>
      <c r="L31" s="26">
        <f>GETPIVOTDATA("Sum of Profit",PivotTable!$A$2,"Kota",Table58[[#This Row],[Medan]])</f>
        <v>1293000</v>
      </c>
      <c r="M31" s="26">
        <f>GETPIVOTDATA("Sum of Margin",PivotTable!$A$2,"Kota",Table58[[#This Row],[Medan]])</f>
        <v>182000</v>
      </c>
    </row>
    <row r="32" spans="10:13" ht="21" customHeight="1" x14ac:dyDescent="0.25">
      <c r="J32" s="25" t="str">
        <f>PivotTable!A6</f>
        <v>Jakarta</v>
      </c>
      <c r="K32" s="26">
        <f>GETPIVOTDATA("Sum of Total_Penjualan",PivotTable!$A$2,"Kota",Table58[[#This Row],[Medan]])</f>
        <v>2009000</v>
      </c>
      <c r="L32" s="26">
        <f>GETPIVOTDATA("Sum of Profit",PivotTable!$A$2,"Kota",Table58[[#This Row],[Medan]])</f>
        <v>1469000</v>
      </c>
      <c r="M32" s="26">
        <f>GETPIVOTDATA("Sum of Margin",PivotTable!$A$2,"Kota",Table58[[#This Row],[Medan]])</f>
        <v>360000</v>
      </c>
    </row>
    <row r="33" spans="2:18" ht="21" customHeight="1" x14ac:dyDescent="0.25">
      <c r="J33" s="25" t="str">
        <f>PivotTable!A7</f>
        <v>Jakarta Barat</v>
      </c>
      <c r="K33" s="26">
        <f>GETPIVOTDATA("Sum of Total_Penjualan",PivotTable!$A$2,"Kota",Table58[[#This Row],[Medan]])</f>
        <v>22000</v>
      </c>
      <c r="L33" s="26">
        <f>GETPIVOTDATA("Sum of Profit",PivotTable!$A$2,"Kota",Table58[[#This Row],[Medan]])</f>
        <v>8800</v>
      </c>
      <c r="M33" s="26">
        <f>GETPIVOTDATA("Sum of Margin",PivotTable!$A$2,"Kota",Table58[[#This Row],[Medan]])</f>
        <v>8800</v>
      </c>
    </row>
    <row r="34" spans="2:18" ht="21" customHeight="1" x14ac:dyDescent="0.25">
      <c r="J34" s="25" t="str">
        <f>PivotTable!A8</f>
        <v>Jakarta Pusat</v>
      </c>
      <c r="K34" s="26">
        <f>GETPIVOTDATA("Sum of Total_Penjualan",PivotTable!$A$2,"Kota",Table58[[#This Row],[Medan]])</f>
        <v>36000</v>
      </c>
      <c r="L34" s="26">
        <f>GETPIVOTDATA("Sum of Profit",PivotTable!$A$2,"Kota",Table58[[#This Row],[Medan]])</f>
        <v>25200</v>
      </c>
      <c r="M34" s="26">
        <f>GETPIVOTDATA("Sum of Margin",PivotTable!$A$2,"Kota",Table58[[#This Row],[Medan]])</f>
        <v>7200</v>
      </c>
    </row>
    <row r="35" spans="2:18" ht="21" customHeight="1" x14ac:dyDescent="0.25">
      <c r="J35" s="25" t="str">
        <f>PivotTable!A9</f>
        <v>Jakarta Selatan</v>
      </c>
      <c r="K35" s="26">
        <f>GETPIVOTDATA("Sum of Total_Penjualan",PivotTable!$A$2,"Kota",Table58[[#This Row],[Medan]])</f>
        <v>3063000</v>
      </c>
      <c r="L35" s="26">
        <f>GETPIVOTDATA("Sum of Profit",PivotTable!$A$2,"Kota",Table58[[#This Row],[Medan]])</f>
        <v>1865400</v>
      </c>
      <c r="M35" s="26">
        <f>GETPIVOTDATA("Sum of Margin",PivotTable!$A$2,"Kota",Table58[[#This Row],[Medan]])</f>
        <v>798400</v>
      </c>
    </row>
    <row r="36" spans="2:18" x14ac:dyDescent="0.25">
      <c r="J36" s="25" t="str">
        <f>PivotTable!A10</f>
        <v>Malang</v>
      </c>
      <c r="K36" s="26">
        <f>GETPIVOTDATA("Sum of Total_Penjualan",PivotTable!$A$2,"Kota",Table58[[#This Row],[Medan]])</f>
        <v>3061000</v>
      </c>
      <c r="L36" s="26">
        <f>GETPIVOTDATA("Sum of Profit",PivotTable!$A$2,"Kota",Table58[[#This Row],[Medan]])</f>
        <v>2536000</v>
      </c>
      <c r="M36" s="26">
        <f>GETPIVOTDATA("Sum of Margin",PivotTable!$A$2,"Kota",Table58[[#This Row],[Medan]])</f>
        <v>350000</v>
      </c>
    </row>
    <row r="38" spans="2:18" ht="18.75" customHeight="1" x14ac:dyDescent="0.25">
      <c r="B38" s="33" t="s">
        <v>1609</v>
      </c>
      <c r="C38" s="33"/>
      <c r="D38" s="33"/>
      <c r="E38" s="33"/>
      <c r="F38" s="33"/>
      <c r="G38" s="33"/>
      <c r="H38" s="33"/>
      <c r="I38" s="33"/>
      <c r="J38" s="33"/>
      <c r="K38" s="33"/>
      <c r="L38" s="33"/>
      <c r="M38" s="33"/>
      <c r="N38" s="33"/>
      <c r="O38" s="33"/>
      <c r="P38" s="33"/>
      <c r="Q38" s="33"/>
      <c r="R38" s="33"/>
    </row>
  </sheetData>
  <mergeCells count="2">
    <mergeCell ref="J27:M27"/>
    <mergeCell ref="B38:R38"/>
  </mergeCells>
  <pageMargins left="0.23622047244094488" right="0.23622047244094488" top="0.74803149606299213" bottom="0.74803149606299213" header="0.31496062992125984" footer="0.31496062992125984"/>
  <pageSetup paperSize="9" scale="71" fitToHeight="0" orientation="landscape" r:id="rId1"/>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5879-023B-4574-AB85-CBE3A862CEE4}">
  <dimension ref="A1:G49"/>
  <sheetViews>
    <sheetView topLeftCell="A34" workbookViewId="0">
      <selection activeCell="A38" sqref="A38:D49"/>
    </sheetView>
  </sheetViews>
  <sheetFormatPr defaultRowHeight="15" x14ac:dyDescent="0.25"/>
  <cols>
    <col min="1" max="1" width="10.7109375" bestFit="1" customWidth="1"/>
    <col min="2" max="2" width="20.140625" customWidth="1"/>
    <col min="3" max="3" width="14.7109375" customWidth="1"/>
    <col min="4" max="4" width="12.7109375" customWidth="1"/>
    <col min="7" max="7" width="11.42578125" bestFit="1" customWidth="1"/>
  </cols>
  <sheetData>
    <row r="1" spans="1:7" x14ac:dyDescent="0.25">
      <c r="A1" t="s">
        <v>0</v>
      </c>
      <c r="B1" t="s">
        <v>1603</v>
      </c>
      <c r="C1" t="s">
        <v>1604</v>
      </c>
      <c r="D1" t="s">
        <v>1605</v>
      </c>
    </row>
    <row r="2" spans="1:7" x14ac:dyDescent="0.25">
      <c r="A2" s="2">
        <v>44957</v>
      </c>
      <c r="B2" s="16">
        <v>1560000</v>
      </c>
      <c r="C2" s="16">
        <v>1050000</v>
      </c>
      <c r="D2" s="16">
        <v>2049999.9999999998</v>
      </c>
      <c r="G2" s="16"/>
    </row>
    <row r="3" spans="1:7" x14ac:dyDescent="0.25">
      <c r="A3" s="2">
        <v>44985</v>
      </c>
      <c r="B3" s="16">
        <v>10400</v>
      </c>
      <c r="C3" s="16">
        <v>580000</v>
      </c>
      <c r="D3" s="16">
        <v>1500000</v>
      </c>
      <c r="G3" s="16"/>
    </row>
    <row r="4" spans="1:7" x14ac:dyDescent="0.25">
      <c r="A4" s="2">
        <v>45016</v>
      </c>
      <c r="B4" s="16">
        <v>3200</v>
      </c>
      <c r="C4" s="16">
        <v>-190000</v>
      </c>
      <c r="D4" s="16">
        <v>840000</v>
      </c>
      <c r="G4" s="16"/>
    </row>
    <row r="5" spans="1:7" x14ac:dyDescent="0.25">
      <c r="A5" s="2">
        <v>45046</v>
      </c>
      <c r="B5" s="16">
        <v>19200</v>
      </c>
      <c r="C5" s="16">
        <v>1370000</v>
      </c>
      <c r="D5" s="16">
        <v>2390000</v>
      </c>
      <c r="G5" s="16"/>
    </row>
    <row r="6" spans="1:7" x14ac:dyDescent="0.25">
      <c r="A6" s="2">
        <v>45077</v>
      </c>
      <c r="B6" s="16">
        <v>11600</v>
      </c>
      <c r="C6" s="16">
        <v>700000</v>
      </c>
      <c r="D6" s="16">
        <v>1610000</v>
      </c>
      <c r="G6" s="16"/>
    </row>
    <row r="7" spans="1:7" x14ac:dyDescent="0.25">
      <c r="A7" s="2">
        <v>45107</v>
      </c>
      <c r="B7" s="16">
        <v>10600</v>
      </c>
      <c r="C7" s="16">
        <v>560000</v>
      </c>
      <c r="D7" s="16">
        <v>1540000</v>
      </c>
      <c r="G7" s="16"/>
    </row>
    <row r="8" spans="1:7" x14ac:dyDescent="0.25">
      <c r="A8" s="2">
        <v>45138</v>
      </c>
      <c r="B8" s="16">
        <v>23300</v>
      </c>
      <c r="C8" s="16">
        <v>1840000</v>
      </c>
      <c r="D8" s="16">
        <v>2820000</v>
      </c>
      <c r="G8" s="16"/>
    </row>
    <row r="9" spans="1:7" x14ac:dyDescent="0.25">
      <c r="A9" s="2">
        <v>45169</v>
      </c>
      <c r="B9" s="16">
        <v>10800</v>
      </c>
      <c r="C9" s="16">
        <v>610000</v>
      </c>
      <c r="D9" s="16">
        <v>1580000</v>
      </c>
      <c r="G9" s="16"/>
    </row>
    <row r="10" spans="1:7" x14ac:dyDescent="0.25">
      <c r="A10" s="2">
        <v>45199</v>
      </c>
      <c r="B10" s="16">
        <v>14100</v>
      </c>
      <c r="C10" s="16">
        <v>930000</v>
      </c>
      <c r="D10" s="16">
        <v>1900000</v>
      </c>
      <c r="G10" s="16"/>
    </row>
    <row r="11" spans="1:7" x14ac:dyDescent="0.25">
      <c r="A11" s="2">
        <v>45230</v>
      </c>
      <c r="B11" s="16">
        <v>4300</v>
      </c>
      <c r="C11" s="16">
        <v>-80000</v>
      </c>
      <c r="D11" s="16">
        <v>930000</v>
      </c>
      <c r="G11" s="16"/>
    </row>
    <row r="12" spans="1:7" x14ac:dyDescent="0.25">
      <c r="A12" s="2">
        <v>45260</v>
      </c>
      <c r="B12" s="16">
        <v>16800</v>
      </c>
      <c r="C12" s="16">
        <v>1200000</v>
      </c>
      <c r="D12" s="16">
        <v>2180000</v>
      </c>
      <c r="G12" s="16"/>
    </row>
    <row r="13" spans="1:7" x14ac:dyDescent="0.25">
      <c r="A13" s="2">
        <v>45291</v>
      </c>
      <c r="B13" s="16">
        <v>18300</v>
      </c>
      <c r="C13" s="16">
        <v>1370000</v>
      </c>
      <c r="D13" s="16">
        <v>2340000</v>
      </c>
      <c r="G13" s="16"/>
    </row>
    <row r="14" spans="1:7" x14ac:dyDescent="0.25">
      <c r="A14" s="2">
        <v>45322</v>
      </c>
      <c r="B14" s="16">
        <v>19200</v>
      </c>
      <c r="C14" s="16">
        <v>1430000</v>
      </c>
      <c r="D14" s="16">
        <v>2400000</v>
      </c>
      <c r="G14" s="16"/>
    </row>
    <row r="15" spans="1:7" x14ac:dyDescent="0.25">
      <c r="A15" s="2">
        <v>45351</v>
      </c>
      <c r="B15" s="16">
        <v>10700</v>
      </c>
      <c r="C15" s="16">
        <v>650000</v>
      </c>
      <c r="D15" s="16">
        <v>1560000</v>
      </c>
      <c r="G15" s="16"/>
    </row>
    <row r="16" spans="1:7" x14ac:dyDescent="0.25">
      <c r="A16" s="2">
        <v>45382</v>
      </c>
      <c r="B16" s="16">
        <v>14700</v>
      </c>
      <c r="C16" s="16">
        <v>980000</v>
      </c>
      <c r="D16" s="16">
        <v>1960000</v>
      </c>
      <c r="G16" s="16"/>
    </row>
    <row r="17" spans="1:7" x14ac:dyDescent="0.25">
      <c r="A17" s="2">
        <v>45412</v>
      </c>
      <c r="B17" s="16">
        <v>22500</v>
      </c>
      <c r="C17" s="16">
        <v>1800000</v>
      </c>
      <c r="D17" s="16">
        <v>2760000</v>
      </c>
      <c r="G17" s="16"/>
    </row>
    <row r="18" spans="1:7" x14ac:dyDescent="0.25">
      <c r="A18" s="2">
        <v>45443</v>
      </c>
      <c r="B18" s="16">
        <v>13400</v>
      </c>
      <c r="C18" s="16">
        <v>850000</v>
      </c>
      <c r="D18" s="16">
        <v>1830000</v>
      </c>
      <c r="G18" s="16"/>
    </row>
    <row r="19" spans="1:7" x14ac:dyDescent="0.25">
      <c r="A19" s="2">
        <v>45473</v>
      </c>
      <c r="B19" s="16">
        <v>14000</v>
      </c>
      <c r="C19" s="16">
        <v>900000</v>
      </c>
      <c r="D19" s="16">
        <v>1890000</v>
      </c>
      <c r="G19" s="16"/>
    </row>
    <row r="20" spans="1:7" x14ac:dyDescent="0.25">
      <c r="A20" s="2">
        <v>45504</v>
      </c>
      <c r="B20" s="16">
        <v>9900</v>
      </c>
      <c r="C20" s="16">
        <v>490000</v>
      </c>
      <c r="D20" s="16">
        <v>1470000</v>
      </c>
      <c r="G20" s="16"/>
    </row>
    <row r="21" spans="1:7" x14ac:dyDescent="0.25">
      <c r="A21" s="2">
        <v>45535</v>
      </c>
      <c r="B21" s="16">
        <v>17000</v>
      </c>
      <c r="C21" s="16">
        <v>1240000</v>
      </c>
      <c r="D21" s="16">
        <v>2190000</v>
      </c>
      <c r="G21" s="16"/>
    </row>
    <row r="22" spans="1:7" x14ac:dyDescent="0.25">
      <c r="A22" s="2">
        <v>45565</v>
      </c>
      <c r="B22" s="16">
        <v>18200</v>
      </c>
      <c r="C22" s="16">
        <v>1330000</v>
      </c>
      <c r="D22" s="16">
        <v>2280000</v>
      </c>
      <c r="G22" s="16"/>
    </row>
    <row r="23" spans="1:7" x14ac:dyDescent="0.25">
      <c r="A23" s="2">
        <v>45596</v>
      </c>
      <c r="B23" s="16">
        <v>11700</v>
      </c>
      <c r="C23" s="16">
        <v>680000</v>
      </c>
      <c r="D23" s="16">
        <v>1640000</v>
      </c>
      <c r="G23" s="16"/>
    </row>
    <row r="24" spans="1:7" x14ac:dyDescent="0.25">
      <c r="A24" s="2">
        <v>45626</v>
      </c>
      <c r="B24" s="16">
        <v>25200</v>
      </c>
      <c r="C24" s="16">
        <v>2009999.9999999998</v>
      </c>
      <c r="D24" s="16">
        <v>3020000</v>
      </c>
      <c r="G24" s="16"/>
    </row>
    <row r="25" spans="1:7" x14ac:dyDescent="0.25">
      <c r="A25" s="2">
        <v>45657</v>
      </c>
      <c r="B25" s="16">
        <v>10600</v>
      </c>
      <c r="C25" s="16">
        <v>600000</v>
      </c>
      <c r="D25" s="16">
        <v>1550000</v>
      </c>
      <c r="G25" s="16"/>
    </row>
    <row r="26" spans="1:7" x14ac:dyDescent="0.25">
      <c r="A26" s="2">
        <v>45688</v>
      </c>
      <c r="B26" s="16">
        <v>15500</v>
      </c>
      <c r="C26" s="16">
        <v>1050000</v>
      </c>
      <c r="D26" s="16">
        <v>2029999.9999999998</v>
      </c>
      <c r="G26" s="16"/>
    </row>
    <row r="27" spans="1:7" x14ac:dyDescent="0.25">
      <c r="A27" s="2">
        <v>45716</v>
      </c>
      <c r="B27" s="16">
        <v>13100</v>
      </c>
      <c r="C27" s="16">
        <v>810000</v>
      </c>
      <c r="D27" s="16">
        <v>1820000</v>
      </c>
      <c r="G27" s="16"/>
    </row>
    <row r="28" spans="1:7" x14ac:dyDescent="0.25">
      <c r="A28" s="2">
        <v>45747</v>
      </c>
      <c r="B28" s="16">
        <v>13300</v>
      </c>
      <c r="C28" s="16">
        <v>860000</v>
      </c>
      <c r="D28" s="16">
        <v>1810000</v>
      </c>
      <c r="G28" s="16"/>
    </row>
    <row r="29" spans="1:7" x14ac:dyDescent="0.25">
      <c r="A29" s="2">
        <v>45777</v>
      </c>
      <c r="B29" s="16">
        <v>23800</v>
      </c>
      <c r="C29" s="16">
        <v>1900000</v>
      </c>
      <c r="D29" s="16">
        <v>2870000</v>
      </c>
      <c r="G29" s="16"/>
    </row>
    <row r="30" spans="1:7" x14ac:dyDescent="0.25">
      <c r="A30" s="2">
        <v>45808</v>
      </c>
      <c r="B30" s="16">
        <v>15200</v>
      </c>
      <c r="C30" s="16">
        <v>1030000</v>
      </c>
      <c r="D30" s="16">
        <v>1990000</v>
      </c>
      <c r="G30" s="16"/>
    </row>
    <row r="31" spans="1:7" x14ac:dyDescent="0.25">
      <c r="A31" s="2">
        <v>45838</v>
      </c>
      <c r="B31" s="16">
        <v>15200</v>
      </c>
      <c r="C31" s="16">
        <v>1030000</v>
      </c>
      <c r="D31" s="16">
        <v>2029999.9999999998</v>
      </c>
      <c r="G31" s="16"/>
    </row>
    <row r="32" spans="1:7" x14ac:dyDescent="0.25">
      <c r="A32" s="2">
        <v>45869</v>
      </c>
      <c r="B32" s="16">
        <v>16800</v>
      </c>
      <c r="C32" s="16">
        <v>1200000</v>
      </c>
      <c r="D32" s="16">
        <v>2210000</v>
      </c>
      <c r="G32" s="16"/>
    </row>
    <row r="33" spans="1:7" x14ac:dyDescent="0.25">
      <c r="A33" s="2">
        <v>45900</v>
      </c>
      <c r="B33" s="16">
        <v>17400</v>
      </c>
      <c r="C33" s="16">
        <v>1250000</v>
      </c>
      <c r="D33" s="16">
        <v>2240000</v>
      </c>
      <c r="G33" s="16"/>
    </row>
    <row r="34" spans="1:7" x14ac:dyDescent="0.25">
      <c r="A34" s="2">
        <v>45930</v>
      </c>
      <c r="B34" s="16">
        <v>19300</v>
      </c>
      <c r="C34" s="16">
        <v>1410000</v>
      </c>
      <c r="D34" s="16">
        <v>2390000</v>
      </c>
      <c r="G34" s="16"/>
    </row>
    <row r="35" spans="1:7" x14ac:dyDescent="0.25">
      <c r="A35" s="2">
        <v>45961</v>
      </c>
      <c r="B35" s="16">
        <v>11600</v>
      </c>
      <c r="C35" s="16">
        <v>670000</v>
      </c>
      <c r="D35" s="16">
        <v>1630000</v>
      </c>
      <c r="G35" s="16"/>
    </row>
    <row r="36" spans="1:7" x14ac:dyDescent="0.25">
      <c r="A36" s="2">
        <v>45991</v>
      </c>
      <c r="B36" s="16">
        <v>24700.000000000004</v>
      </c>
      <c r="C36" s="16">
        <v>1960000</v>
      </c>
      <c r="D36" s="16">
        <v>2950000</v>
      </c>
      <c r="G36" s="16"/>
    </row>
    <row r="37" spans="1:7" x14ac:dyDescent="0.25">
      <c r="A37" s="2">
        <v>46022</v>
      </c>
      <c r="B37" s="16">
        <v>15500</v>
      </c>
      <c r="C37" s="16">
        <v>1010000</v>
      </c>
      <c r="D37" s="16">
        <v>2000000</v>
      </c>
      <c r="G37" s="16"/>
    </row>
    <row r="38" spans="1:7" x14ac:dyDescent="0.25">
      <c r="A38" s="2">
        <v>46053</v>
      </c>
      <c r="B38" s="16">
        <v>19200</v>
      </c>
      <c r="C38" s="16">
        <v>1450000</v>
      </c>
      <c r="D38" s="16">
        <v>2380000</v>
      </c>
      <c r="G38" s="16"/>
    </row>
    <row r="39" spans="1:7" x14ac:dyDescent="0.25">
      <c r="A39" s="2">
        <v>46081</v>
      </c>
      <c r="B39" s="16">
        <v>15500</v>
      </c>
      <c r="C39" s="16">
        <v>1060000</v>
      </c>
      <c r="D39" s="16">
        <v>2049999.9999999998</v>
      </c>
      <c r="G39" s="16"/>
    </row>
    <row r="40" spans="1:7" x14ac:dyDescent="0.25">
      <c r="A40" s="2">
        <v>46112</v>
      </c>
      <c r="B40" s="16">
        <v>11900</v>
      </c>
      <c r="C40" s="16">
        <v>720000</v>
      </c>
      <c r="D40" s="16">
        <v>1720000</v>
      </c>
      <c r="G40" s="16"/>
    </row>
    <row r="41" spans="1:7" x14ac:dyDescent="0.25">
      <c r="A41" s="2">
        <v>46142</v>
      </c>
      <c r="B41" s="16">
        <v>25099.999999999996</v>
      </c>
      <c r="C41" s="16">
        <v>2049999.9999999998</v>
      </c>
      <c r="D41" s="16">
        <v>2990000</v>
      </c>
      <c r="G41" s="16"/>
    </row>
    <row r="42" spans="1:7" x14ac:dyDescent="0.25">
      <c r="A42" s="2">
        <v>46173</v>
      </c>
      <c r="B42" s="16">
        <v>17000</v>
      </c>
      <c r="C42" s="16">
        <v>1210000</v>
      </c>
      <c r="D42" s="16">
        <v>2210000</v>
      </c>
      <c r="G42" s="16"/>
    </row>
    <row r="43" spans="1:7" x14ac:dyDescent="0.25">
      <c r="A43" s="2">
        <v>46203</v>
      </c>
      <c r="B43" s="16">
        <v>16500</v>
      </c>
      <c r="C43" s="16">
        <v>1180000</v>
      </c>
      <c r="D43" s="16">
        <v>2150000</v>
      </c>
      <c r="G43" s="16"/>
    </row>
    <row r="44" spans="1:7" x14ac:dyDescent="0.25">
      <c r="A44" s="2">
        <v>46234</v>
      </c>
      <c r="B44" s="16">
        <v>23700</v>
      </c>
      <c r="C44" s="16">
        <v>1880000</v>
      </c>
      <c r="D44" s="16">
        <v>2890000</v>
      </c>
      <c r="G44" s="16"/>
    </row>
    <row r="45" spans="1:7" x14ac:dyDescent="0.25">
      <c r="A45" s="2">
        <v>46265</v>
      </c>
      <c r="B45" s="16">
        <v>17800</v>
      </c>
      <c r="C45" s="16">
        <v>1300000</v>
      </c>
      <c r="D45" s="16">
        <v>2270000</v>
      </c>
      <c r="G45" s="16"/>
    </row>
    <row r="46" spans="1:7" x14ac:dyDescent="0.25">
      <c r="A46" s="2">
        <v>46295</v>
      </c>
      <c r="B46" s="16">
        <v>20299.999999999996</v>
      </c>
      <c r="C46" s="16">
        <v>1500000</v>
      </c>
      <c r="D46" s="16">
        <v>2480000</v>
      </c>
      <c r="G46" s="16"/>
    </row>
    <row r="47" spans="1:7" x14ac:dyDescent="0.25">
      <c r="A47" s="2">
        <v>46326</v>
      </c>
      <c r="B47" s="16">
        <v>11600</v>
      </c>
      <c r="C47" s="16">
        <v>680000</v>
      </c>
      <c r="D47" s="16">
        <v>1650000</v>
      </c>
      <c r="G47" s="16"/>
    </row>
    <row r="48" spans="1:7" x14ac:dyDescent="0.25">
      <c r="A48" s="2">
        <v>46356</v>
      </c>
      <c r="B48" s="16">
        <v>24400</v>
      </c>
      <c r="C48" s="16">
        <v>1960000</v>
      </c>
      <c r="D48" s="16">
        <v>2930000</v>
      </c>
      <c r="G48" s="16"/>
    </row>
    <row r="49" spans="1:7" x14ac:dyDescent="0.25">
      <c r="A49" s="2">
        <v>46387</v>
      </c>
      <c r="B49" s="16">
        <v>20500</v>
      </c>
      <c r="C49" s="16">
        <v>1550000</v>
      </c>
      <c r="D49" s="16">
        <v>2500000</v>
      </c>
      <c r="G49" s="16"/>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F2B7-57BF-48D4-A039-49A3AE0178E8}">
  <dimension ref="A2:L245"/>
  <sheetViews>
    <sheetView zoomScale="109" zoomScaleNormal="81" workbookViewId="0">
      <selection activeCell="E37" sqref="E37"/>
    </sheetView>
  </sheetViews>
  <sheetFormatPr defaultRowHeight="15" x14ac:dyDescent="0.25"/>
  <cols>
    <col min="1" max="1" width="14.28515625" bestFit="1" customWidth="1"/>
    <col min="2" max="2" width="22.7109375" bestFit="1" customWidth="1"/>
    <col min="3" max="3" width="14.28515625" bestFit="1" customWidth="1"/>
    <col min="4" max="4" width="12.85546875" bestFit="1" customWidth="1"/>
    <col min="5" max="5" width="13.140625" bestFit="1" customWidth="1"/>
    <col min="6" max="6" width="20.5703125" bestFit="1" customWidth="1"/>
    <col min="7" max="7" width="13.42578125" bestFit="1" customWidth="1"/>
    <col min="8" max="8" width="9.140625" customWidth="1"/>
    <col min="11" max="11" width="13.140625" bestFit="1" customWidth="1"/>
    <col min="12" max="12" width="22.7109375" bestFit="1" customWidth="1"/>
  </cols>
  <sheetData>
    <row r="2" spans="1:12" x14ac:dyDescent="0.25">
      <c r="A2" s="14" t="s">
        <v>1305</v>
      </c>
      <c r="B2" t="s">
        <v>1308</v>
      </c>
      <c r="C2" t="s">
        <v>1600</v>
      </c>
      <c r="D2" t="s">
        <v>1591</v>
      </c>
    </row>
    <row r="3" spans="1:12" x14ac:dyDescent="0.25">
      <c r="A3" s="15" t="s">
        <v>21</v>
      </c>
      <c r="B3" s="16">
        <v>4569000</v>
      </c>
      <c r="C3" s="16">
        <v>758200</v>
      </c>
      <c r="D3" s="16">
        <v>3431700</v>
      </c>
      <c r="K3" s="14" t="s">
        <v>1305</v>
      </c>
      <c r="L3" t="s">
        <v>1308</v>
      </c>
    </row>
    <row r="4" spans="1:12" x14ac:dyDescent="0.25">
      <c r="A4" s="15" t="s">
        <v>59</v>
      </c>
      <c r="B4" s="16">
        <v>2517000</v>
      </c>
      <c r="C4" s="16">
        <v>330800</v>
      </c>
      <c r="D4" s="16">
        <v>2020800</v>
      </c>
      <c r="K4" s="15" t="s">
        <v>1578</v>
      </c>
      <c r="L4" s="16">
        <v>15792000</v>
      </c>
    </row>
    <row r="5" spans="1:12" x14ac:dyDescent="0.25">
      <c r="A5" s="15" t="s">
        <v>39</v>
      </c>
      <c r="B5" s="16">
        <v>1566000</v>
      </c>
      <c r="C5" s="16">
        <v>182000</v>
      </c>
      <c r="D5" s="16">
        <v>1293000</v>
      </c>
      <c r="K5" s="15" t="s">
        <v>1597</v>
      </c>
      <c r="L5" s="16">
        <v>20144500</v>
      </c>
    </row>
    <row r="6" spans="1:12" x14ac:dyDescent="0.25">
      <c r="A6" s="15" t="s">
        <v>14</v>
      </c>
      <c r="B6" s="16">
        <v>2009000</v>
      </c>
      <c r="C6" s="16">
        <v>360000</v>
      </c>
      <c r="D6" s="16">
        <v>1469000</v>
      </c>
      <c r="K6" s="15" t="s">
        <v>1306</v>
      </c>
      <c r="L6" s="16">
        <v>35936500</v>
      </c>
    </row>
    <row r="7" spans="1:12" x14ac:dyDescent="0.25">
      <c r="A7" s="15" t="s">
        <v>63</v>
      </c>
      <c r="B7" s="16">
        <v>22000</v>
      </c>
      <c r="C7" s="16">
        <v>8800</v>
      </c>
      <c r="D7" s="16">
        <v>8800</v>
      </c>
    </row>
    <row r="8" spans="1:12" x14ac:dyDescent="0.25">
      <c r="A8" s="15" t="s">
        <v>35</v>
      </c>
      <c r="B8" s="16">
        <v>36000</v>
      </c>
      <c r="C8" s="16">
        <v>7200</v>
      </c>
      <c r="D8" s="16">
        <v>25200</v>
      </c>
    </row>
    <row r="9" spans="1:12" x14ac:dyDescent="0.25">
      <c r="A9" s="15" t="s">
        <v>93</v>
      </c>
      <c r="B9" s="16">
        <v>3063000</v>
      </c>
      <c r="C9" s="16">
        <v>798400</v>
      </c>
      <c r="D9" s="16">
        <v>1865400</v>
      </c>
    </row>
    <row r="10" spans="1:12" x14ac:dyDescent="0.25">
      <c r="A10" s="15" t="s">
        <v>67</v>
      </c>
      <c r="B10" s="16">
        <v>3061000</v>
      </c>
      <c r="C10" s="16">
        <v>350000</v>
      </c>
      <c r="D10" s="16">
        <v>2536000</v>
      </c>
    </row>
    <row r="11" spans="1:12" x14ac:dyDescent="0.25">
      <c r="A11" s="15" t="s">
        <v>45</v>
      </c>
      <c r="B11" s="16">
        <v>5728000</v>
      </c>
      <c r="C11" s="16">
        <v>1125600</v>
      </c>
      <c r="D11" s="16">
        <v>4039600</v>
      </c>
    </row>
    <row r="12" spans="1:12" x14ac:dyDescent="0.25">
      <c r="A12" s="15" t="s">
        <v>53</v>
      </c>
      <c r="B12" s="16">
        <v>4270000</v>
      </c>
      <c r="C12" s="16">
        <v>614800</v>
      </c>
      <c r="D12" s="16">
        <v>3347800</v>
      </c>
    </row>
    <row r="13" spans="1:12" x14ac:dyDescent="0.25">
      <c r="A13" s="15" t="s">
        <v>28</v>
      </c>
      <c r="B13" s="16">
        <v>5172500</v>
      </c>
      <c r="C13" s="16">
        <v>793800</v>
      </c>
      <c r="D13" s="16">
        <v>3981800</v>
      </c>
    </row>
    <row r="14" spans="1:12" x14ac:dyDescent="0.25">
      <c r="A14" s="15" t="s">
        <v>71</v>
      </c>
      <c r="B14" s="16">
        <v>3923000</v>
      </c>
      <c r="C14" s="16">
        <v>798000</v>
      </c>
      <c r="D14" s="16">
        <v>2726000</v>
      </c>
    </row>
    <row r="15" spans="1:12" x14ac:dyDescent="0.25">
      <c r="A15" s="15" t="s">
        <v>1306</v>
      </c>
      <c r="B15" s="16">
        <v>35936500</v>
      </c>
      <c r="C15" s="16">
        <v>6127600</v>
      </c>
      <c r="D15" s="16">
        <v>26745100</v>
      </c>
    </row>
    <row r="16" spans="1:12" x14ac:dyDescent="0.25">
      <c r="E16" s="14" t="s">
        <v>1305</v>
      </c>
      <c r="F16" t="s">
        <v>1308</v>
      </c>
    </row>
    <row r="17" spans="1:6" x14ac:dyDescent="0.25">
      <c r="E17" s="15" t="s">
        <v>21</v>
      </c>
      <c r="F17" s="16">
        <v>4569000</v>
      </c>
    </row>
    <row r="18" spans="1:6" x14ac:dyDescent="0.25">
      <c r="E18" s="15" t="s">
        <v>59</v>
      </c>
      <c r="F18" s="16">
        <v>2517000</v>
      </c>
    </row>
    <row r="19" spans="1:6" x14ac:dyDescent="0.25">
      <c r="A19" t="s">
        <v>1592</v>
      </c>
      <c r="E19" s="15" t="s">
        <v>39</v>
      </c>
      <c r="F19" s="16">
        <v>1566000</v>
      </c>
    </row>
    <row r="20" spans="1:6" x14ac:dyDescent="0.25">
      <c r="A20" s="14" t="s">
        <v>1305</v>
      </c>
      <c r="B20" t="s">
        <v>9</v>
      </c>
      <c r="C20" t="s">
        <v>1602</v>
      </c>
      <c r="E20" s="15" t="s">
        <v>14</v>
      </c>
      <c r="F20" s="16">
        <v>2009000</v>
      </c>
    </row>
    <row r="21" spans="1:6" x14ac:dyDescent="0.25">
      <c r="A21" s="15" t="s">
        <v>1579</v>
      </c>
      <c r="B21" s="16">
        <v>2770500</v>
      </c>
      <c r="C21" s="16">
        <v>2031000</v>
      </c>
      <c r="E21" s="15" t="s">
        <v>63</v>
      </c>
      <c r="F21" s="16">
        <v>22000</v>
      </c>
    </row>
    <row r="22" spans="1:6" x14ac:dyDescent="0.25">
      <c r="A22" s="15" t="s">
        <v>1580</v>
      </c>
      <c r="B22" s="16">
        <v>2254000</v>
      </c>
      <c r="C22" s="16">
        <v>1969600</v>
      </c>
      <c r="E22" s="15" t="s">
        <v>35</v>
      </c>
      <c r="F22" s="16">
        <v>36000</v>
      </c>
    </row>
    <row r="23" spans="1:6" x14ac:dyDescent="0.25">
      <c r="A23" s="15" t="s">
        <v>1581</v>
      </c>
      <c r="B23" s="16">
        <v>1015000</v>
      </c>
      <c r="C23" s="16">
        <v>631000</v>
      </c>
      <c r="E23" s="15" t="s">
        <v>93</v>
      </c>
      <c r="F23" s="16">
        <v>3063000</v>
      </c>
    </row>
    <row r="24" spans="1:6" x14ac:dyDescent="0.25">
      <c r="A24" s="15" t="s">
        <v>1582</v>
      </c>
      <c r="B24" s="16">
        <v>3618000</v>
      </c>
      <c r="C24" s="16">
        <v>2848800</v>
      </c>
      <c r="E24" s="15" t="s">
        <v>67</v>
      </c>
      <c r="F24" s="16">
        <v>3061000</v>
      </c>
    </row>
    <row r="25" spans="1:6" x14ac:dyDescent="0.25">
      <c r="A25" s="15" t="s">
        <v>1583</v>
      </c>
      <c r="B25" s="16">
        <v>2705000</v>
      </c>
      <c r="C25" s="16">
        <v>1989200</v>
      </c>
      <c r="E25" s="15" t="s">
        <v>45</v>
      </c>
      <c r="F25" s="16">
        <v>5728000</v>
      </c>
    </row>
    <row r="26" spans="1:6" x14ac:dyDescent="0.25">
      <c r="A26" s="15" t="s">
        <v>1584</v>
      </c>
      <c r="B26" s="16">
        <v>2607000</v>
      </c>
      <c r="C26" s="16">
        <v>1863000</v>
      </c>
      <c r="E26" s="15" t="s">
        <v>53</v>
      </c>
      <c r="F26" s="16">
        <v>4270000</v>
      </c>
    </row>
    <row r="27" spans="1:6" x14ac:dyDescent="0.25">
      <c r="A27" s="15" t="s">
        <v>1585</v>
      </c>
      <c r="B27" s="16">
        <v>3867500</v>
      </c>
      <c r="C27" s="16">
        <v>2468000</v>
      </c>
      <c r="E27" s="15" t="s">
        <v>28</v>
      </c>
      <c r="F27" s="16">
        <v>5172500</v>
      </c>
    </row>
    <row r="28" spans="1:6" x14ac:dyDescent="0.25">
      <c r="A28" s="15" t="s">
        <v>1586</v>
      </c>
      <c r="B28" s="16">
        <v>3200000</v>
      </c>
      <c r="C28" s="16">
        <v>2475800</v>
      </c>
      <c r="E28" s="15" t="s">
        <v>71</v>
      </c>
      <c r="F28" s="16">
        <v>3923000</v>
      </c>
    </row>
    <row r="29" spans="1:6" x14ac:dyDescent="0.25">
      <c r="A29" s="15" t="s">
        <v>1587</v>
      </c>
      <c r="B29" s="16">
        <v>3379000</v>
      </c>
      <c r="C29" s="16">
        <v>2493400</v>
      </c>
      <c r="E29" s="15" t="s">
        <v>1306</v>
      </c>
      <c r="F29" s="16">
        <v>35936500</v>
      </c>
    </row>
    <row r="30" spans="1:6" x14ac:dyDescent="0.25">
      <c r="A30" s="15" t="s">
        <v>1588</v>
      </c>
      <c r="B30" s="16">
        <v>1631000</v>
      </c>
      <c r="C30" s="16">
        <v>1332800</v>
      </c>
    </row>
    <row r="31" spans="1:6" x14ac:dyDescent="0.25">
      <c r="A31" s="15" t="s">
        <v>1589</v>
      </c>
      <c r="B31" s="16">
        <v>4757500</v>
      </c>
      <c r="C31" s="16">
        <v>3326200</v>
      </c>
      <c r="E31" t="s">
        <v>1607</v>
      </c>
    </row>
    <row r="32" spans="1:6" x14ac:dyDescent="0.25">
      <c r="A32" s="15" t="s">
        <v>1590</v>
      </c>
      <c r="B32" s="16">
        <v>4132000</v>
      </c>
      <c r="C32" s="16">
        <v>3316300</v>
      </c>
      <c r="E32" s="16">
        <v>29745.631067961163</v>
      </c>
    </row>
    <row r="33" spans="1:6" x14ac:dyDescent="0.25">
      <c r="A33" s="15" t="s">
        <v>1306</v>
      </c>
      <c r="B33" s="16">
        <v>35936500</v>
      </c>
      <c r="C33" s="16">
        <v>26745100</v>
      </c>
    </row>
    <row r="35" spans="1:6" x14ac:dyDescent="0.25">
      <c r="A35" s="15" t="s">
        <v>1593</v>
      </c>
    </row>
    <row r="36" spans="1:6" x14ac:dyDescent="0.25">
      <c r="A36" t="s">
        <v>1591</v>
      </c>
    </row>
    <row r="37" spans="1:6" x14ac:dyDescent="0.25">
      <c r="A37" s="16">
        <v>26745100</v>
      </c>
      <c r="E37" s="14" t="s">
        <v>1305</v>
      </c>
      <c r="F37" t="s">
        <v>1608</v>
      </c>
    </row>
    <row r="38" spans="1:6" x14ac:dyDescent="0.25">
      <c r="E38" s="15" t="s">
        <v>1578</v>
      </c>
      <c r="F38" s="32">
        <v>101</v>
      </c>
    </row>
    <row r="39" spans="1:6" x14ac:dyDescent="0.25">
      <c r="A39" t="s">
        <v>1594</v>
      </c>
      <c r="E39" s="15" t="s">
        <v>1597</v>
      </c>
      <c r="F39" s="32">
        <v>105</v>
      </c>
    </row>
    <row r="40" spans="1:6" x14ac:dyDescent="0.25">
      <c r="A40" t="s">
        <v>1595</v>
      </c>
      <c r="E40" s="15" t="s">
        <v>1306</v>
      </c>
      <c r="F40" s="32">
        <v>206</v>
      </c>
    </row>
    <row r="41" spans="1:6" x14ac:dyDescent="0.25">
      <c r="A41" s="11">
        <v>1152</v>
      </c>
    </row>
    <row r="42" spans="1:6" x14ac:dyDescent="0.25">
      <c r="A42" t="s">
        <v>1596</v>
      </c>
    </row>
    <row r="43" spans="1:6" x14ac:dyDescent="0.25">
      <c r="A43" s="14" t="s">
        <v>1305</v>
      </c>
      <c r="B43" t="s">
        <v>1308</v>
      </c>
    </row>
    <row r="44" spans="1:6" x14ac:dyDescent="0.25">
      <c r="A44" s="15" t="s">
        <v>26</v>
      </c>
      <c r="B44" s="16">
        <v>5415000</v>
      </c>
    </row>
    <row r="45" spans="1:6" x14ac:dyDescent="0.25">
      <c r="A45" s="15" t="s">
        <v>33</v>
      </c>
      <c r="B45" s="16">
        <v>3567000</v>
      </c>
    </row>
    <row r="46" spans="1:6" x14ac:dyDescent="0.25">
      <c r="A46" s="15" t="s">
        <v>48</v>
      </c>
      <c r="B46" s="16">
        <v>7450000</v>
      </c>
    </row>
    <row r="47" spans="1:6" x14ac:dyDescent="0.25">
      <c r="A47" s="15" t="s">
        <v>12</v>
      </c>
      <c r="B47" s="16">
        <v>8193000</v>
      </c>
    </row>
    <row r="48" spans="1:6" x14ac:dyDescent="0.25">
      <c r="A48" s="15" t="s">
        <v>19</v>
      </c>
      <c r="B48" s="16">
        <v>3206500</v>
      </c>
    </row>
    <row r="49" spans="1:4" x14ac:dyDescent="0.25">
      <c r="A49" s="15" t="s">
        <v>43</v>
      </c>
      <c r="B49" s="16">
        <v>8105000</v>
      </c>
    </row>
    <row r="50" spans="1:4" x14ac:dyDescent="0.25">
      <c r="A50" s="15" t="s">
        <v>1306</v>
      </c>
      <c r="B50" s="16">
        <v>35936500</v>
      </c>
    </row>
    <row r="52" spans="1:4" x14ac:dyDescent="0.25">
      <c r="A52" s="15" t="s">
        <v>1598</v>
      </c>
    </row>
    <row r="53" spans="1:4" x14ac:dyDescent="0.25">
      <c r="A53" s="14" t="s">
        <v>1305</v>
      </c>
      <c r="B53" t="s">
        <v>1308</v>
      </c>
    </row>
    <row r="54" spans="1:4" x14ac:dyDescent="0.25">
      <c r="A54" s="15" t="s">
        <v>22</v>
      </c>
      <c r="B54" s="16">
        <v>8305500</v>
      </c>
    </row>
    <row r="55" spans="1:4" x14ac:dyDescent="0.25">
      <c r="A55" s="15" t="s">
        <v>29</v>
      </c>
      <c r="B55" s="16">
        <v>12790000</v>
      </c>
    </row>
    <row r="56" spans="1:4" x14ac:dyDescent="0.25">
      <c r="A56" s="15" t="s">
        <v>15</v>
      </c>
      <c r="B56" s="16">
        <v>14841000</v>
      </c>
    </row>
    <row r="57" spans="1:4" x14ac:dyDescent="0.25">
      <c r="A57" s="15" t="s">
        <v>1306</v>
      </c>
      <c r="B57" s="16">
        <v>35936500</v>
      </c>
    </row>
    <row r="59" spans="1:4" x14ac:dyDescent="0.25">
      <c r="A59" s="15" t="s">
        <v>1599</v>
      </c>
    </row>
    <row r="60" spans="1:4" x14ac:dyDescent="0.25">
      <c r="A60" s="15" t="s">
        <v>1598</v>
      </c>
    </row>
    <row r="61" spans="1:4" x14ac:dyDescent="0.25">
      <c r="A61" s="14" t="s">
        <v>1305</v>
      </c>
      <c r="B61" t="s">
        <v>1308</v>
      </c>
      <c r="C61" t="s">
        <v>1591</v>
      </c>
      <c r="D61" t="s">
        <v>1600</v>
      </c>
    </row>
    <row r="62" spans="1:4" x14ac:dyDescent="0.25">
      <c r="A62" s="15" t="s">
        <v>119</v>
      </c>
      <c r="B62" s="16">
        <v>140000</v>
      </c>
      <c r="C62" s="16">
        <v>119000</v>
      </c>
      <c r="D62" s="16">
        <v>14000</v>
      </c>
    </row>
    <row r="63" spans="1:4" x14ac:dyDescent="0.25">
      <c r="A63" s="15" t="s">
        <v>123</v>
      </c>
      <c r="B63" s="16">
        <v>50000</v>
      </c>
      <c r="C63" s="16">
        <v>47000</v>
      </c>
      <c r="D63" s="16">
        <v>2000</v>
      </c>
    </row>
    <row r="64" spans="1:4" x14ac:dyDescent="0.25">
      <c r="A64" s="15" t="s">
        <v>127</v>
      </c>
      <c r="B64" s="16">
        <v>72000</v>
      </c>
      <c r="C64" s="16">
        <v>68400</v>
      </c>
      <c r="D64" s="16">
        <v>2400</v>
      </c>
    </row>
    <row r="65" spans="1:4" x14ac:dyDescent="0.25">
      <c r="A65" s="15" t="s">
        <v>131</v>
      </c>
      <c r="B65" s="16">
        <v>20000</v>
      </c>
      <c r="C65" s="16">
        <v>8000</v>
      </c>
      <c r="D65" s="16">
        <v>8000</v>
      </c>
    </row>
    <row r="66" spans="1:4" x14ac:dyDescent="0.25">
      <c r="A66" s="15" t="s">
        <v>135</v>
      </c>
      <c r="B66" s="16">
        <v>65000</v>
      </c>
      <c r="C66" s="16">
        <v>26000</v>
      </c>
      <c r="D66" s="16">
        <v>26000</v>
      </c>
    </row>
    <row r="67" spans="1:4" x14ac:dyDescent="0.25">
      <c r="A67" s="15" t="s">
        <v>139</v>
      </c>
      <c r="B67" s="16">
        <v>88000</v>
      </c>
      <c r="C67" s="16">
        <v>81400</v>
      </c>
      <c r="D67" s="16">
        <v>4400</v>
      </c>
    </row>
    <row r="68" spans="1:4" x14ac:dyDescent="0.25">
      <c r="A68" s="15" t="s">
        <v>143</v>
      </c>
      <c r="B68" s="16">
        <v>180000</v>
      </c>
      <c r="C68" s="16">
        <v>169200</v>
      </c>
      <c r="D68" s="16">
        <v>7200</v>
      </c>
    </row>
    <row r="69" spans="1:4" x14ac:dyDescent="0.25">
      <c r="A69" s="15" t="s">
        <v>125</v>
      </c>
      <c r="B69" s="16">
        <v>150000</v>
      </c>
      <c r="C69" s="16">
        <v>144000</v>
      </c>
      <c r="D69" s="16">
        <v>4000</v>
      </c>
    </row>
    <row r="70" spans="1:4" x14ac:dyDescent="0.25">
      <c r="A70" s="15" t="s">
        <v>150</v>
      </c>
      <c r="B70" s="16">
        <v>160000</v>
      </c>
      <c r="C70" s="16">
        <v>155200</v>
      </c>
      <c r="D70" s="16">
        <v>3200</v>
      </c>
    </row>
    <row r="71" spans="1:4" x14ac:dyDescent="0.25">
      <c r="A71" s="15" t="s">
        <v>153</v>
      </c>
      <c r="B71" s="16">
        <v>120000</v>
      </c>
      <c r="C71" s="16">
        <v>111000</v>
      </c>
      <c r="D71" s="16">
        <v>6000</v>
      </c>
    </row>
    <row r="72" spans="1:4" x14ac:dyDescent="0.25">
      <c r="A72" s="15" t="s">
        <v>157</v>
      </c>
      <c r="B72" s="16">
        <v>120000</v>
      </c>
      <c r="C72" s="16">
        <v>112800</v>
      </c>
      <c r="D72" s="16">
        <v>4800</v>
      </c>
    </row>
    <row r="73" spans="1:4" x14ac:dyDescent="0.25">
      <c r="A73" s="15" t="s">
        <v>161</v>
      </c>
      <c r="B73" s="16">
        <v>72000</v>
      </c>
      <c r="C73" s="16">
        <v>61200</v>
      </c>
      <c r="D73" s="16">
        <v>7200</v>
      </c>
    </row>
    <row r="74" spans="1:4" x14ac:dyDescent="0.25">
      <c r="A74" s="15" t="s">
        <v>74</v>
      </c>
      <c r="B74" s="16">
        <v>203000</v>
      </c>
      <c r="C74" s="16">
        <v>148400</v>
      </c>
      <c r="D74" s="16">
        <v>36400</v>
      </c>
    </row>
    <row r="75" spans="1:4" x14ac:dyDescent="0.25">
      <c r="A75" s="15" t="s">
        <v>168</v>
      </c>
      <c r="B75" s="16">
        <v>165000</v>
      </c>
      <c r="C75" s="16">
        <v>132000</v>
      </c>
      <c r="D75" s="16">
        <v>22000</v>
      </c>
    </row>
    <row r="76" spans="1:4" x14ac:dyDescent="0.25">
      <c r="A76" s="15" t="s">
        <v>172</v>
      </c>
      <c r="B76" s="16">
        <v>90000</v>
      </c>
      <c r="C76" s="16">
        <v>86400</v>
      </c>
      <c r="D76" s="16">
        <v>2400</v>
      </c>
    </row>
    <row r="77" spans="1:4" x14ac:dyDescent="0.25">
      <c r="A77" s="15" t="s">
        <v>180</v>
      </c>
      <c r="B77" s="16">
        <v>90000</v>
      </c>
      <c r="C77" s="16">
        <v>84600</v>
      </c>
      <c r="D77" s="16">
        <v>3600</v>
      </c>
    </row>
    <row r="78" spans="1:4" x14ac:dyDescent="0.25">
      <c r="A78" s="15" t="s">
        <v>184</v>
      </c>
      <c r="B78" s="16">
        <v>105000</v>
      </c>
      <c r="C78" s="16">
        <v>100800</v>
      </c>
      <c r="D78" s="16">
        <v>2800</v>
      </c>
    </row>
    <row r="79" spans="1:4" x14ac:dyDescent="0.25">
      <c r="A79" s="15" t="s">
        <v>190</v>
      </c>
      <c r="B79" s="16">
        <v>81000</v>
      </c>
      <c r="C79" s="16">
        <v>75600</v>
      </c>
      <c r="D79" s="16">
        <v>3600</v>
      </c>
    </row>
    <row r="80" spans="1:4" x14ac:dyDescent="0.25">
      <c r="A80" s="15" t="s">
        <v>194</v>
      </c>
      <c r="B80" s="16">
        <v>100000</v>
      </c>
      <c r="C80" s="16">
        <v>97000</v>
      </c>
      <c r="D80" s="16">
        <v>2000</v>
      </c>
    </row>
    <row r="81" spans="1:4" x14ac:dyDescent="0.25">
      <c r="A81" s="15" t="s">
        <v>198</v>
      </c>
      <c r="B81" s="16">
        <v>249500</v>
      </c>
      <c r="C81" s="16">
        <v>222800</v>
      </c>
      <c r="D81" s="16">
        <v>17800</v>
      </c>
    </row>
    <row r="82" spans="1:4" x14ac:dyDescent="0.25">
      <c r="A82" s="15" t="s">
        <v>202</v>
      </c>
      <c r="B82" s="16">
        <v>110000</v>
      </c>
      <c r="C82" s="16">
        <v>96800</v>
      </c>
      <c r="D82" s="16">
        <v>8800</v>
      </c>
    </row>
    <row r="83" spans="1:4" x14ac:dyDescent="0.25">
      <c r="A83" s="15" t="s">
        <v>178</v>
      </c>
      <c r="B83" s="16">
        <v>108000</v>
      </c>
      <c r="C83" s="16">
        <v>104400</v>
      </c>
      <c r="D83" s="16">
        <v>2400</v>
      </c>
    </row>
    <row r="84" spans="1:4" x14ac:dyDescent="0.25">
      <c r="A84" s="15" t="s">
        <v>208</v>
      </c>
      <c r="B84" s="16">
        <v>90000</v>
      </c>
      <c r="C84" s="16">
        <v>81000</v>
      </c>
      <c r="D84" s="16">
        <v>6000</v>
      </c>
    </row>
    <row r="85" spans="1:4" x14ac:dyDescent="0.25">
      <c r="A85" s="15" t="s">
        <v>220</v>
      </c>
      <c r="B85" s="16">
        <v>75000</v>
      </c>
      <c r="C85" s="16">
        <v>73200</v>
      </c>
      <c r="D85" s="16">
        <v>1200</v>
      </c>
    </row>
    <row r="86" spans="1:4" x14ac:dyDescent="0.25">
      <c r="A86" s="15" t="s">
        <v>224</v>
      </c>
      <c r="B86" s="16">
        <v>60000</v>
      </c>
      <c r="C86" s="16">
        <v>42000</v>
      </c>
      <c r="D86" s="16">
        <v>12000</v>
      </c>
    </row>
    <row r="87" spans="1:4" x14ac:dyDescent="0.25">
      <c r="A87" s="15" t="s">
        <v>228</v>
      </c>
      <c r="B87" s="16">
        <v>80000</v>
      </c>
      <c r="C87" s="16">
        <v>56000</v>
      </c>
      <c r="D87" s="16">
        <v>16000</v>
      </c>
    </row>
    <row r="88" spans="1:4" x14ac:dyDescent="0.25">
      <c r="A88" s="15" t="s">
        <v>231</v>
      </c>
      <c r="B88" s="16">
        <v>80000</v>
      </c>
      <c r="C88" s="16">
        <v>77600</v>
      </c>
      <c r="D88" s="16">
        <v>1600</v>
      </c>
    </row>
    <row r="89" spans="1:4" x14ac:dyDescent="0.25">
      <c r="A89" s="15" t="s">
        <v>239</v>
      </c>
      <c r="B89" s="16">
        <v>84000</v>
      </c>
      <c r="C89" s="16">
        <v>79800</v>
      </c>
      <c r="D89" s="16">
        <v>2800</v>
      </c>
    </row>
    <row r="90" spans="1:4" x14ac:dyDescent="0.25">
      <c r="A90" s="15" t="s">
        <v>243</v>
      </c>
      <c r="B90" s="16">
        <v>180000</v>
      </c>
      <c r="C90" s="16">
        <v>169200</v>
      </c>
      <c r="D90" s="16">
        <v>7200</v>
      </c>
    </row>
    <row r="91" spans="1:4" x14ac:dyDescent="0.25">
      <c r="A91" s="15" t="s">
        <v>247</v>
      </c>
      <c r="B91" s="16">
        <v>60000</v>
      </c>
      <c r="C91" s="16">
        <v>24000</v>
      </c>
      <c r="D91" s="16">
        <v>24000</v>
      </c>
    </row>
    <row r="92" spans="1:4" x14ac:dyDescent="0.25">
      <c r="A92" s="15" t="s">
        <v>251</v>
      </c>
      <c r="B92" s="16">
        <v>88000</v>
      </c>
      <c r="C92" s="16">
        <v>81400</v>
      </c>
      <c r="D92" s="16">
        <v>4400</v>
      </c>
    </row>
    <row r="93" spans="1:4" x14ac:dyDescent="0.25">
      <c r="A93" s="15" t="s">
        <v>255</v>
      </c>
      <c r="B93" s="16">
        <v>240000</v>
      </c>
      <c r="C93" s="16">
        <v>168000</v>
      </c>
      <c r="D93" s="16">
        <v>48000</v>
      </c>
    </row>
    <row r="94" spans="1:4" x14ac:dyDescent="0.25">
      <c r="A94" s="15" t="s">
        <v>159</v>
      </c>
      <c r="B94" s="16">
        <v>75000</v>
      </c>
      <c r="C94" s="16">
        <v>66000</v>
      </c>
      <c r="D94" s="16">
        <v>6000</v>
      </c>
    </row>
    <row r="95" spans="1:4" x14ac:dyDescent="0.25">
      <c r="A95" s="15" t="s">
        <v>261</v>
      </c>
      <c r="B95" s="16">
        <v>240000</v>
      </c>
      <c r="C95" s="16">
        <v>222000</v>
      </c>
      <c r="D95" s="16">
        <v>12000</v>
      </c>
    </row>
    <row r="96" spans="1:4" x14ac:dyDescent="0.25">
      <c r="A96" s="15" t="s">
        <v>265</v>
      </c>
      <c r="B96" s="16">
        <v>100000</v>
      </c>
      <c r="C96" s="16">
        <v>88000</v>
      </c>
      <c r="D96" s="16">
        <v>8000</v>
      </c>
    </row>
    <row r="97" spans="1:4" x14ac:dyDescent="0.25">
      <c r="A97" s="15" t="s">
        <v>86</v>
      </c>
      <c r="B97" s="16">
        <v>250000</v>
      </c>
      <c r="C97" s="16">
        <v>175000</v>
      </c>
      <c r="D97" s="16">
        <v>50000</v>
      </c>
    </row>
    <row r="98" spans="1:4" x14ac:dyDescent="0.25">
      <c r="A98" s="15" t="s">
        <v>210</v>
      </c>
      <c r="B98" s="16">
        <v>150000</v>
      </c>
      <c r="C98" s="16">
        <v>60000</v>
      </c>
      <c r="D98" s="16">
        <v>60000</v>
      </c>
    </row>
    <row r="99" spans="1:4" x14ac:dyDescent="0.25">
      <c r="A99" s="15" t="s">
        <v>107</v>
      </c>
      <c r="B99" s="16">
        <v>290000</v>
      </c>
      <c r="C99" s="16">
        <v>215000</v>
      </c>
      <c r="D99" s="16">
        <v>50000</v>
      </c>
    </row>
    <row r="100" spans="1:4" x14ac:dyDescent="0.25">
      <c r="A100" s="15" t="s">
        <v>281</v>
      </c>
      <c r="B100" s="16">
        <v>130000</v>
      </c>
      <c r="C100" s="16">
        <v>91000</v>
      </c>
      <c r="D100" s="16">
        <v>26000</v>
      </c>
    </row>
    <row r="101" spans="1:4" x14ac:dyDescent="0.25">
      <c r="A101" s="15" t="s">
        <v>285</v>
      </c>
      <c r="B101" s="16">
        <v>120000</v>
      </c>
      <c r="C101" s="16">
        <v>96000</v>
      </c>
      <c r="D101" s="16">
        <v>16000</v>
      </c>
    </row>
    <row r="102" spans="1:4" x14ac:dyDescent="0.25">
      <c r="A102" s="15" t="s">
        <v>288</v>
      </c>
      <c r="B102" s="16">
        <v>76000</v>
      </c>
      <c r="C102" s="16">
        <v>53200</v>
      </c>
      <c r="D102" s="16">
        <v>15200</v>
      </c>
    </row>
    <row r="103" spans="1:4" x14ac:dyDescent="0.25">
      <c r="A103" s="15" t="s">
        <v>295</v>
      </c>
      <c r="B103" s="16">
        <v>220000</v>
      </c>
      <c r="C103" s="16">
        <v>187000</v>
      </c>
      <c r="D103" s="16">
        <v>22000</v>
      </c>
    </row>
    <row r="104" spans="1:4" x14ac:dyDescent="0.25">
      <c r="A104" s="15" t="s">
        <v>299</v>
      </c>
      <c r="B104" s="16">
        <v>275000</v>
      </c>
      <c r="C104" s="16">
        <v>242000</v>
      </c>
      <c r="D104" s="16">
        <v>22000</v>
      </c>
    </row>
    <row r="105" spans="1:4" x14ac:dyDescent="0.25">
      <c r="A105" s="15" t="s">
        <v>303</v>
      </c>
      <c r="B105" s="16">
        <v>150000</v>
      </c>
      <c r="C105" s="16">
        <v>135000</v>
      </c>
      <c r="D105" s="16">
        <v>10000</v>
      </c>
    </row>
    <row r="106" spans="1:4" x14ac:dyDescent="0.25">
      <c r="A106" s="15" t="s">
        <v>310</v>
      </c>
      <c r="B106" s="16">
        <v>150000</v>
      </c>
      <c r="C106" s="16">
        <v>120000</v>
      </c>
      <c r="D106" s="16">
        <v>20000</v>
      </c>
    </row>
    <row r="107" spans="1:4" x14ac:dyDescent="0.25">
      <c r="A107" s="15" t="s">
        <v>312</v>
      </c>
      <c r="B107" s="16">
        <v>240000</v>
      </c>
      <c r="C107" s="16">
        <v>192000</v>
      </c>
      <c r="D107" s="16">
        <v>32000</v>
      </c>
    </row>
    <row r="108" spans="1:4" x14ac:dyDescent="0.25">
      <c r="A108" s="15" t="s">
        <v>321</v>
      </c>
      <c r="B108" s="16">
        <v>135000</v>
      </c>
      <c r="C108" s="16">
        <v>108000</v>
      </c>
      <c r="D108" s="16">
        <v>18000</v>
      </c>
    </row>
    <row r="109" spans="1:4" x14ac:dyDescent="0.25">
      <c r="A109" s="15" t="s">
        <v>263</v>
      </c>
      <c r="B109" s="16">
        <v>120000</v>
      </c>
      <c r="C109" s="16">
        <v>102000</v>
      </c>
      <c r="D109" s="16">
        <v>12000</v>
      </c>
    </row>
    <row r="110" spans="1:4" x14ac:dyDescent="0.25">
      <c r="A110" s="15" t="s">
        <v>331</v>
      </c>
      <c r="B110" s="16">
        <v>105000</v>
      </c>
      <c r="C110" s="16">
        <v>84000</v>
      </c>
      <c r="D110" s="16">
        <v>14000</v>
      </c>
    </row>
    <row r="111" spans="1:4" x14ac:dyDescent="0.25">
      <c r="A111" s="15" t="s">
        <v>342</v>
      </c>
      <c r="B111" s="16">
        <v>95000</v>
      </c>
      <c r="C111" s="16">
        <v>38000</v>
      </c>
      <c r="D111" s="16">
        <v>38000</v>
      </c>
    </row>
    <row r="112" spans="1:4" x14ac:dyDescent="0.25">
      <c r="A112" s="15" t="s">
        <v>349</v>
      </c>
      <c r="B112" s="16">
        <v>200000</v>
      </c>
      <c r="C112" s="16">
        <v>188000</v>
      </c>
      <c r="D112" s="16">
        <v>8000</v>
      </c>
    </row>
    <row r="113" spans="1:4" x14ac:dyDescent="0.25">
      <c r="A113" s="15" t="s">
        <v>356</v>
      </c>
      <c r="B113" s="16">
        <v>210000</v>
      </c>
      <c r="C113" s="16">
        <v>168000</v>
      </c>
      <c r="D113" s="16">
        <v>28000</v>
      </c>
    </row>
    <row r="114" spans="1:4" x14ac:dyDescent="0.25">
      <c r="A114" s="15" t="s">
        <v>347</v>
      </c>
      <c r="B114" s="16">
        <v>135000</v>
      </c>
      <c r="C114" s="16">
        <v>108000</v>
      </c>
      <c r="D114" s="16">
        <v>18000</v>
      </c>
    </row>
    <row r="115" spans="1:4" x14ac:dyDescent="0.25">
      <c r="A115" s="15" t="s">
        <v>362</v>
      </c>
      <c r="B115" s="16">
        <v>160000</v>
      </c>
      <c r="C115" s="16">
        <v>112000</v>
      </c>
      <c r="D115" s="16">
        <v>32000</v>
      </c>
    </row>
    <row r="116" spans="1:4" x14ac:dyDescent="0.25">
      <c r="A116" s="15" t="s">
        <v>196</v>
      </c>
      <c r="B116" s="16">
        <v>140000</v>
      </c>
      <c r="C116" s="16">
        <v>119000</v>
      </c>
      <c r="D116" s="16">
        <v>14000</v>
      </c>
    </row>
    <row r="117" spans="1:4" x14ac:dyDescent="0.25">
      <c r="A117" s="15" t="s">
        <v>372</v>
      </c>
      <c r="B117" s="16">
        <v>540000</v>
      </c>
      <c r="C117" s="16">
        <v>486000</v>
      </c>
      <c r="D117" s="16">
        <v>36000</v>
      </c>
    </row>
    <row r="118" spans="1:4" x14ac:dyDescent="0.25">
      <c r="A118" s="15" t="s">
        <v>379</v>
      </c>
      <c r="B118" s="16">
        <v>180000</v>
      </c>
      <c r="C118" s="16">
        <v>72000</v>
      </c>
      <c r="D118" s="16">
        <v>72000</v>
      </c>
    </row>
    <row r="119" spans="1:4" x14ac:dyDescent="0.25">
      <c r="A119" s="15" t="s">
        <v>77</v>
      </c>
      <c r="B119" s="16">
        <v>180000</v>
      </c>
      <c r="C119" s="16">
        <v>171000</v>
      </c>
      <c r="D119" s="16">
        <v>6000</v>
      </c>
    </row>
    <row r="120" spans="1:4" x14ac:dyDescent="0.25">
      <c r="A120" s="15" t="s">
        <v>385</v>
      </c>
      <c r="B120" s="16">
        <v>210000</v>
      </c>
      <c r="C120" s="16">
        <v>192000</v>
      </c>
      <c r="D120" s="16">
        <v>12000</v>
      </c>
    </row>
    <row r="121" spans="1:4" x14ac:dyDescent="0.25">
      <c r="A121" s="15" t="s">
        <v>389</v>
      </c>
      <c r="B121" s="16">
        <v>140000</v>
      </c>
      <c r="C121" s="16">
        <v>98000</v>
      </c>
      <c r="D121" s="16">
        <v>28000</v>
      </c>
    </row>
    <row r="122" spans="1:4" x14ac:dyDescent="0.25">
      <c r="A122" s="15" t="s">
        <v>400</v>
      </c>
      <c r="B122" s="16">
        <v>450000</v>
      </c>
      <c r="C122" s="16">
        <v>180000</v>
      </c>
      <c r="D122" s="16">
        <v>180000</v>
      </c>
    </row>
    <row r="123" spans="1:4" x14ac:dyDescent="0.25">
      <c r="A123" s="15" t="s">
        <v>297</v>
      </c>
      <c r="B123" s="16">
        <v>670000</v>
      </c>
      <c r="C123" s="16">
        <v>335200</v>
      </c>
      <c r="D123" s="16">
        <v>223200</v>
      </c>
    </row>
    <row r="124" spans="1:4" x14ac:dyDescent="0.25">
      <c r="A124" s="15" t="s">
        <v>406</v>
      </c>
      <c r="B124" s="16">
        <v>150000</v>
      </c>
      <c r="C124" s="16">
        <v>60000</v>
      </c>
      <c r="D124" s="16">
        <v>60000</v>
      </c>
    </row>
    <row r="125" spans="1:4" x14ac:dyDescent="0.25">
      <c r="A125" s="15" t="s">
        <v>412</v>
      </c>
      <c r="B125" s="16">
        <v>220000</v>
      </c>
      <c r="C125" s="16">
        <v>88000</v>
      </c>
      <c r="D125" s="16">
        <v>88000</v>
      </c>
    </row>
    <row r="126" spans="1:4" x14ac:dyDescent="0.25">
      <c r="A126" s="15" t="s">
        <v>416</v>
      </c>
      <c r="B126" s="16">
        <v>350000</v>
      </c>
      <c r="C126" s="16">
        <v>140000</v>
      </c>
      <c r="D126" s="16">
        <v>140000</v>
      </c>
    </row>
    <row r="127" spans="1:4" x14ac:dyDescent="0.25">
      <c r="A127" s="15" t="s">
        <v>420</v>
      </c>
      <c r="B127" s="16">
        <v>240000</v>
      </c>
      <c r="C127" s="16">
        <v>222000</v>
      </c>
      <c r="D127" s="16">
        <v>12000</v>
      </c>
    </row>
    <row r="128" spans="1:4" x14ac:dyDescent="0.25">
      <c r="A128" s="15" t="s">
        <v>222</v>
      </c>
      <c r="B128" s="16">
        <v>920000</v>
      </c>
      <c r="C128" s="16">
        <v>701000</v>
      </c>
      <c r="D128" s="16">
        <v>146000</v>
      </c>
    </row>
    <row r="129" spans="1:4" x14ac:dyDescent="0.25">
      <c r="A129" s="15" t="s">
        <v>323</v>
      </c>
      <c r="B129" s="16">
        <v>200000</v>
      </c>
      <c r="C129" s="16">
        <v>176000</v>
      </c>
      <c r="D129" s="16">
        <v>16000</v>
      </c>
    </row>
    <row r="130" spans="1:4" x14ac:dyDescent="0.25">
      <c r="A130" s="15" t="s">
        <v>418</v>
      </c>
      <c r="B130" s="16">
        <v>520000</v>
      </c>
      <c r="C130" s="16">
        <v>364000</v>
      </c>
      <c r="D130" s="16">
        <v>104000</v>
      </c>
    </row>
    <row r="131" spans="1:4" x14ac:dyDescent="0.25">
      <c r="A131" s="15" t="s">
        <v>47</v>
      </c>
      <c r="B131" s="16">
        <v>15000</v>
      </c>
      <c r="C131" s="16">
        <v>6000</v>
      </c>
      <c r="D131" s="16">
        <v>6000</v>
      </c>
    </row>
    <row r="132" spans="1:4" x14ac:dyDescent="0.25">
      <c r="A132" s="15" t="s">
        <v>145</v>
      </c>
      <c r="B132" s="16">
        <v>530000</v>
      </c>
      <c r="C132" s="16">
        <v>212000</v>
      </c>
      <c r="D132" s="16">
        <v>212000</v>
      </c>
    </row>
    <row r="133" spans="1:4" x14ac:dyDescent="0.25">
      <c r="A133" s="15" t="s">
        <v>117</v>
      </c>
      <c r="B133" s="16">
        <v>240000</v>
      </c>
      <c r="C133" s="16">
        <v>204000</v>
      </c>
      <c r="D133" s="16">
        <v>24000</v>
      </c>
    </row>
    <row r="134" spans="1:4" x14ac:dyDescent="0.25">
      <c r="A134" s="15" t="s">
        <v>446</v>
      </c>
      <c r="B134" s="16">
        <v>200000</v>
      </c>
      <c r="C134" s="16">
        <v>188000</v>
      </c>
      <c r="D134" s="16">
        <v>8000</v>
      </c>
    </row>
    <row r="135" spans="1:4" x14ac:dyDescent="0.25">
      <c r="A135" s="15" t="s">
        <v>450</v>
      </c>
      <c r="B135" s="16">
        <v>375000</v>
      </c>
      <c r="C135" s="16">
        <v>330000</v>
      </c>
      <c r="D135" s="16">
        <v>30000</v>
      </c>
    </row>
    <row r="136" spans="1:4" x14ac:dyDescent="0.25">
      <c r="A136" s="15" t="s">
        <v>274</v>
      </c>
      <c r="B136" s="16">
        <v>100000</v>
      </c>
      <c r="C136" s="16">
        <v>40000</v>
      </c>
      <c r="D136" s="16">
        <v>40000</v>
      </c>
    </row>
    <row r="137" spans="1:4" x14ac:dyDescent="0.25">
      <c r="A137" s="15" t="s">
        <v>394</v>
      </c>
      <c r="B137" s="16">
        <v>300000</v>
      </c>
      <c r="C137" s="16">
        <v>270000</v>
      </c>
      <c r="D137" s="16">
        <v>20000</v>
      </c>
    </row>
    <row r="138" spans="1:4" x14ac:dyDescent="0.25">
      <c r="A138" s="15" t="s">
        <v>192</v>
      </c>
      <c r="B138" s="16">
        <v>330000</v>
      </c>
      <c r="C138" s="16">
        <v>264000</v>
      </c>
      <c r="D138" s="16">
        <v>44000</v>
      </c>
    </row>
    <row r="139" spans="1:4" x14ac:dyDescent="0.25">
      <c r="A139" s="15" t="s">
        <v>42</v>
      </c>
      <c r="B139" s="16">
        <v>200000</v>
      </c>
      <c r="C139" s="16">
        <v>170000</v>
      </c>
      <c r="D139" s="16">
        <v>20000</v>
      </c>
    </row>
    <row r="140" spans="1:4" x14ac:dyDescent="0.25">
      <c r="A140" s="15" t="s">
        <v>478</v>
      </c>
      <c r="B140" s="16">
        <v>500000</v>
      </c>
      <c r="C140" s="16">
        <v>350000</v>
      </c>
      <c r="D140" s="16">
        <v>100000</v>
      </c>
    </row>
    <row r="141" spans="1:4" x14ac:dyDescent="0.25">
      <c r="A141" s="15" t="s">
        <v>481</v>
      </c>
      <c r="B141" s="16">
        <v>270000</v>
      </c>
      <c r="C141" s="16">
        <v>216000</v>
      </c>
      <c r="D141" s="16">
        <v>36000</v>
      </c>
    </row>
    <row r="142" spans="1:4" x14ac:dyDescent="0.25">
      <c r="A142" s="15" t="s">
        <v>113</v>
      </c>
      <c r="B142" s="16">
        <v>525000</v>
      </c>
      <c r="C142" s="16">
        <v>210000</v>
      </c>
      <c r="D142" s="16">
        <v>210000</v>
      </c>
    </row>
    <row r="143" spans="1:4" x14ac:dyDescent="0.25">
      <c r="A143" s="15" t="s">
        <v>476</v>
      </c>
      <c r="B143" s="16">
        <v>750000</v>
      </c>
      <c r="C143" s="16">
        <v>300000</v>
      </c>
      <c r="D143" s="16">
        <v>300000</v>
      </c>
    </row>
    <row r="144" spans="1:4" x14ac:dyDescent="0.25">
      <c r="A144" s="15" t="s">
        <v>496</v>
      </c>
      <c r="B144" s="16">
        <v>600000</v>
      </c>
      <c r="C144" s="16">
        <v>510000</v>
      </c>
      <c r="D144" s="16">
        <v>60000</v>
      </c>
    </row>
    <row r="145" spans="1:4" x14ac:dyDescent="0.25">
      <c r="A145" s="15" t="s">
        <v>91</v>
      </c>
      <c r="B145" s="16">
        <v>585000</v>
      </c>
      <c r="C145" s="16">
        <v>486000</v>
      </c>
      <c r="D145" s="16">
        <v>66000</v>
      </c>
    </row>
    <row r="146" spans="1:4" x14ac:dyDescent="0.25">
      <c r="A146" s="15" t="s">
        <v>502</v>
      </c>
      <c r="B146" s="16">
        <v>300000</v>
      </c>
      <c r="C146" s="16">
        <v>264000</v>
      </c>
      <c r="D146" s="16">
        <v>24000</v>
      </c>
    </row>
    <row r="147" spans="1:4" x14ac:dyDescent="0.25">
      <c r="A147" s="15" t="s">
        <v>506</v>
      </c>
      <c r="B147" s="16">
        <v>320000</v>
      </c>
      <c r="C147" s="16">
        <v>224000</v>
      </c>
      <c r="D147" s="16">
        <v>64000</v>
      </c>
    </row>
    <row r="148" spans="1:4" x14ac:dyDescent="0.25">
      <c r="A148" s="15" t="s">
        <v>509</v>
      </c>
      <c r="B148" s="16">
        <v>360000</v>
      </c>
      <c r="C148" s="16">
        <v>333000</v>
      </c>
      <c r="D148" s="16">
        <v>18000</v>
      </c>
    </row>
    <row r="149" spans="1:4" x14ac:dyDescent="0.25">
      <c r="A149" s="15" t="s">
        <v>414</v>
      </c>
      <c r="B149" s="16">
        <v>325000</v>
      </c>
      <c r="C149" s="16">
        <v>286000</v>
      </c>
      <c r="D149" s="16">
        <v>26000</v>
      </c>
    </row>
    <row r="150" spans="1:4" x14ac:dyDescent="0.25">
      <c r="A150" s="15" t="s">
        <v>245</v>
      </c>
      <c r="B150" s="16">
        <v>450000</v>
      </c>
      <c r="C150" s="16">
        <v>423000</v>
      </c>
      <c r="D150" s="16">
        <v>18000</v>
      </c>
    </row>
    <row r="151" spans="1:4" x14ac:dyDescent="0.25">
      <c r="A151" s="15" t="s">
        <v>498</v>
      </c>
      <c r="B151" s="16">
        <v>180000</v>
      </c>
      <c r="C151" s="16">
        <v>72000</v>
      </c>
      <c r="D151" s="16">
        <v>72000</v>
      </c>
    </row>
    <row r="152" spans="1:4" x14ac:dyDescent="0.25">
      <c r="A152" s="15" t="s">
        <v>368</v>
      </c>
      <c r="B152" s="16">
        <v>75000</v>
      </c>
      <c r="C152" s="16">
        <v>30000</v>
      </c>
      <c r="D152" s="16">
        <v>30000</v>
      </c>
    </row>
    <row r="153" spans="1:4" x14ac:dyDescent="0.25">
      <c r="A153" s="15" t="s">
        <v>436</v>
      </c>
      <c r="B153" s="16">
        <v>380000</v>
      </c>
      <c r="C153" s="16">
        <v>323000</v>
      </c>
      <c r="D153" s="16">
        <v>38000</v>
      </c>
    </row>
    <row r="154" spans="1:4" x14ac:dyDescent="0.25">
      <c r="A154" s="15" t="s">
        <v>141</v>
      </c>
      <c r="B154" s="16">
        <v>480000</v>
      </c>
      <c r="C154" s="16">
        <v>402000</v>
      </c>
      <c r="D154" s="16">
        <v>52000</v>
      </c>
    </row>
    <row r="155" spans="1:4" x14ac:dyDescent="0.25">
      <c r="A155" s="15" t="s">
        <v>270</v>
      </c>
      <c r="B155" s="16">
        <v>180000</v>
      </c>
      <c r="C155" s="16">
        <v>171000</v>
      </c>
      <c r="D155" s="16">
        <v>6000</v>
      </c>
    </row>
    <row r="156" spans="1:4" x14ac:dyDescent="0.25">
      <c r="A156" s="15" t="s">
        <v>166</v>
      </c>
      <c r="B156" s="16">
        <v>400000</v>
      </c>
      <c r="C156" s="16">
        <v>160000</v>
      </c>
      <c r="D156" s="16">
        <v>160000</v>
      </c>
    </row>
    <row r="157" spans="1:4" x14ac:dyDescent="0.25">
      <c r="A157" s="15" t="s">
        <v>547</v>
      </c>
      <c r="B157" s="16">
        <v>445000</v>
      </c>
      <c r="C157" s="16">
        <v>244000</v>
      </c>
      <c r="D157" s="16">
        <v>134000</v>
      </c>
    </row>
    <row r="158" spans="1:4" x14ac:dyDescent="0.25">
      <c r="A158" s="15" t="s">
        <v>551</v>
      </c>
      <c r="B158" s="16">
        <v>150000</v>
      </c>
      <c r="C158" s="16">
        <v>120000</v>
      </c>
      <c r="D158" s="16">
        <v>20000</v>
      </c>
    </row>
    <row r="159" spans="1:4" x14ac:dyDescent="0.25">
      <c r="A159" s="15" t="s">
        <v>319</v>
      </c>
      <c r="B159" s="16">
        <v>300000</v>
      </c>
      <c r="C159" s="16">
        <v>210000</v>
      </c>
      <c r="D159" s="16">
        <v>60000</v>
      </c>
    </row>
    <row r="160" spans="1:4" x14ac:dyDescent="0.25">
      <c r="A160" s="15" t="s">
        <v>18</v>
      </c>
      <c r="B160" s="16">
        <v>40000</v>
      </c>
      <c r="C160" s="16">
        <v>37600</v>
      </c>
      <c r="D160" s="16">
        <v>1600</v>
      </c>
    </row>
    <row r="161" spans="1:4" x14ac:dyDescent="0.25">
      <c r="A161" s="15" t="s">
        <v>37</v>
      </c>
      <c r="B161" s="16">
        <v>150000</v>
      </c>
      <c r="C161" s="16">
        <v>132000</v>
      </c>
      <c r="D161" s="16">
        <v>12000</v>
      </c>
    </row>
    <row r="162" spans="1:4" x14ac:dyDescent="0.25">
      <c r="A162" s="15" t="s">
        <v>560</v>
      </c>
      <c r="B162" s="16">
        <v>50000</v>
      </c>
      <c r="C162" s="16">
        <v>44000</v>
      </c>
      <c r="D162" s="16">
        <v>4000</v>
      </c>
    </row>
    <row r="163" spans="1:4" x14ac:dyDescent="0.25">
      <c r="A163" s="15" t="s">
        <v>432</v>
      </c>
      <c r="B163" s="16">
        <v>144000</v>
      </c>
      <c r="C163" s="16">
        <v>129600</v>
      </c>
      <c r="D163" s="16">
        <v>9600</v>
      </c>
    </row>
    <row r="164" spans="1:4" x14ac:dyDescent="0.25">
      <c r="A164" s="15" t="s">
        <v>566</v>
      </c>
      <c r="B164" s="16">
        <v>150000</v>
      </c>
      <c r="C164" s="16">
        <v>144000</v>
      </c>
      <c r="D164" s="16">
        <v>4000</v>
      </c>
    </row>
    <row r="165" spans="1:4" x14ac:dyDescent="0.25">
      <c r="A165" s="15" t="s">
        <v>148</v>
      </c>
      <c r="B165" s="16">
        <v>250000</v>
      </c>
      <c r="C165" s="16">
        <v>235000</v>
      </c>
      <c r="D165" s="16">
        <v>10000</v>
      </c>
    </row>
    <row r="166" spans="1:4" x14ac:dyDescent="0.25">
      <c r="A166" s="15" t="s">
        <v>572</v>
      </c>
      <c r="B166" s="16">
        <v>315000</v>
      </c>
      <c r="C166" s="16">
        <v>288000</v>
      </c>
      <c r="D166" s="16">
        <v>18000</v>
      </c>
    </row>
    <row r="167" spans="1:4" x14ac:dyDescent="0.25">
      <c r="A167" s="15" t="s">
        <v>374</v>
      </c>
      <c r="B167" s="16">
        <v>160000</v>
      </c>
      <c r="C167" s="16">
        <v>150400</v>
      </c>
      <c r="D167" s="16">
        <v>6400</v>
      </c>
    </row>
    <row r="168" spans="1:4" x14ac:dyDescent="0.25">
      <c r="A168" s="15" t="s">
        <v>11</v>
      </c>
      <c r="B168" s="16">
        <v>10500</v>
      </c>
      <c r="C168" s="16">
        <v>8400</v>
      </c>
      <c r="D168" s="16">
        <v>1400</v>
      </c>
    </row>
    <row r="169" spans="1:4" x14ac:dyDescent="0.25">
      <c r="A169" s="15" t="s">
        <v>121</v>
      </c>
      <c r="B169" s="16">
        <v>90000</v>
      </c>
      <c r="C169" s="16">
        <v>79200</v>
      </c>
      <c r="D169" s="16">
        <v>7200</v>
      </c>
    </row>
    <row r="170" spans="1:4" x14ac:dyDescent="0.25">
      <c r="A170" s="15" t="s">
        <v>580</v>
      </c>
      <c r="B170" s="16">
        <v>275000</v>
      </c>
      <c r="C170" s="16">
        <v>242000</v>
      </c>
      <c r="D170" s="16">
        <v>22000</v>
      </c>
    </row>
    <row r="171" spans="1:4" x14ac:dyDescent="0.25">
      <c r="A171" s="15" t="s">
        <v>535</v>
      </c>
      <c r="B171" s="16">
        <v>375000</v>
      </c>
      <c r="C171" s="16">
        <v>330000</v>
      </c>
      <c r="D171" s="16">
        <v>30000</v>
      </c>
    </row>
    <row r="172" spans="1:4" x14ac:dyDescent="0.25">
      <c r="A172" s="15" t="s">
        <v>387</v>
      </c>
      <c r="B172" s="16">
        <v>140000</v>
      </c>
      <c r="C172" s="16">
        <v>123200</v>
      </c>
      <c r="D172" s="16">
        <v>11200</v>
      </c>
    </row>
    <row r="173" spans="1:4" x14ac:dyDescent="0.25">
      <c r="A173" s="15" t="s">
        <v>267</v>
      </c>
      <c r="B173" s="16">
        <v>128000</v>
      </c>
      <c r="C173" s="16">
        <v>118400</v>
      </c>
      <c r="D173" s="16">
        <v>6400</v>
      </c>
    </row>
    <row r="174" spans="1:4" x14ac:dyDescent="0.25">
      <c r="A174" s="15" t="s">
        <v>483</v>
      </c>
      <c r="B174" s="16">
        <v>80000</v>
      </c>
      <c r="C174" s="16">
        <v>77600</v>
      </c>
      <c r="D174" s="16">
        <v>1600</v>
      </c>
    </row>
    <row r="175" spans="1:4" x14ac:dyDescent="0.25">
      <c r="A175" s="15" t="s">
        <v>454</v>
      </c>
      <c r="B175" s="16">
        <v>75000</v>
      </c>
      <c r="C175" s="16">
        <v>60000</v>
      </c>
      <c r="D175" s="16">
        <v>10000</v>
      </c>
    </row>
    <row r="176" spans="1:4" x14ac:dyDescent="0.25">
      <c r="A176" s="15" t="s">
        <v>596</v>
      </c>
      <c r="B176" s="16">
        <v>220000</v>
      </c>
      <c r="C176" s="16">
        <v>187000</v>
      </c>
      <c r="D176" s="16">
        <v>22000</v>
      </c>
    </row>
    <row r="177" spans="1:4" x14ac:dyDescent="0.25">
      <c r="A177" s="15" t="s">
        <v>576</v>
      </c>
      <c r="B177" s="16">
        <v>120000</v>
      </c>
      <c r="C177" s="16">
        <v>108000</v>
      </c>
      <c r="D177" s="16">
        <v>8000</v>
      </c>
    </row>
    <row r="178" spans="1:4" x14ac:dyDescent="0.25">
      <c r="A178" s="15" t="s">
        <v>504</v>
      </c>
      <c r="B178" s="16">
        <v>30000</v>
      </c>
      <c r="C178" s="16">
        <v>28200</v>
      </c>
      <c r="D178" s="16">
        <v>1200</v>
      </c>
    </row>
    <row r="179" spans="1:4" x14ac:dyDescent="0.25">
      <c r="A179" s="15" t="s">
        <v>494</v>
      </c>
      <c r="B179" s="16">
        <v>150000</v>
      </c>
      <c r="C179" s="16">
        <v>120000</v>
      </c>
      <c r="D179" s="16">
        <v>20000</v>
      </c>
    </row>
    <row r="180" spans="1:4" x14ac:dyDescent="0.25">
      <c r="A180" s="15" t="s">
        <v>410</v>
      </c>
      <c r="B180" s="16">
        <v>84000</v>
      </c>
      <c r="C180" s="16">
        <v>71400</v>
      </c>
      <c r="D180" s="16">
        <v>8400</v>
      </c>
    </row>
    <row r="181" spans="1:4" x14ac:dyDescent="0.25">
      <c r="A181" s="15" t="s">
        <v>316</v>
      </c>
      <c r="B181" s="16">
        <v>13500</v>
      </c>
      <c r="C181" s="16">
        <v>10800</v>
      </c>
      <c r="D181" s="16">
        <v>1800</v>
      </c>
    </row>
    <row r="182" spans="1:4" x14ac:dyDescent="0.25">
      <c r="A182" s="15" t="s">
        <v>398</v>
      </c>
      <c r="B182" s="16">
        <v>170000</v>
      </c>
      <c r="C182" s="16">
        <v>119000</v>
      </c>
      <c r="D182" s="16">
        <v>34000</v>
      </c>
    </row>
    <row r="183" spans="1:4" x14ac:dyDescent="0.25">
      <c r="A183" s="15" t="s">
        <v>65</v>
      </c>
      <c r="B183" s="16">
        <v>258000</v>
      </c>
      <c r="C183" s="16">
        <v>230400</v>
      </c>
      <c r="D183" s="16">
        <v>18400</v>
      </c>
    </row>
    <row r="184" spans="1:4" x14ac:dyDescent="0.25">
      <c r="A184" s="15" t="s">
        <v>517</v>
      </c>
      <c r="B184" s="16">
        <v>140000</v>
      </c>
      <c r="C184" s="16">
        <v>123200</v>
      </c>
      <c r="D184" s="16">
        <v>11200</v>
      </c>
    </row>
    <row r="185" spans="1:4" x14ac:dyDescent="0.25">
      <c r="A185" s="15" t="s">
        <v>621</v>
      </c>
      <c r="B185" s="16">
        <v>96000</v>
      </c>
      <c r="C185" s="16">
        <v>88800</v>
      </c>
      <c r="D185" s="16">
        <v>4800</v>
      </c>
    </row>
    <row r="186" spans="1:4" x14ac:dyDescent="0.25">
      <c r="A186" s="15" t="s">
        <v>422</v>
      </c>
      <c r="B186" s="16">
        <v>150000</v>
      </c>
      <c r="C186" s="16">
        <v>141000</v>
      </c>
      <c r="D186" s="16">
        <v>6000</v>
      </c>
    </row>
    <row r="187" spans="1:4" x14ac:dyDescent="0.25">
      <c r="A187" s="15" t="s">
        <v>174</v>
      </c>
      <c r="B187" s="16">
        <v>34000</v>
      </c>
      <c r="C187" s="16">
        <v>23800</v>
      </c>
      <c r="D187" s="16">
        <v>6800</v>
      </c>
    </row>
    <row r="188" spans="1:4" x14ac:dyDescent="0.25">
      <c r="A188" s="15" t="s">
        <v>364</v>
      </c>
      <c r="B188" s="16">
        <v>135000</v>
      </c>
      <c r="C188" s="16">
        <v>126000</v>
      </c>
      <c r="D188" s="16">
        <v>6000</v>
      </c>
    </row>
    <row r="189" spans="1:4" x14ac:dyDescent="0.25">
      <c r="A189" s="15" t="s">
        <v>110</v>
      </c>
      <c r="B189" s="16">
        <v>60000</v>
      </c>
      <c r="C189" s="16">
        <v>42000</v>
      </c>
      <c r="D189" s="16">
        <v>12000</v>
      </c>
    </row>
    <row r="190" spans="1:4" x14ac:dyDescent="0.25">
      <c r="A190" s="15" t="s">
        <v>137</v>
      </c>
      <c r="B190" s="16">
        <v>105000</v>
      </c>
      <c r="C190" s="16">
        <v>84000</v>
      </c>
      <c r="D190" s="16">
        <v>14000</v>
      </c>
    </row>
    <row r="191" spans="1:4" x14ac:dyDescent="0.25">
      <c r="A191" s="15" t="s">
        <v>555</v>
      </c>
      <c r="B191" s="16">
        <v>28000</v>
      </c>
      <c r="C191" s="16">
        <v>25900</v>
      </c>
      <c r="D191" s="16">
        <v>1400</v>
      </c>
    </row>
    <row r="192" spans="1:4" x14ac:dyDescent="0.25">
      <c r="A192" s="15" t="s">
        <v>649</v>
      </c>
      <c r="B192" s="16">
        <v>100000</v>
      </c>
      <c r="C192" s="16">
        <v>97000</v>
      </c>
      <c r="D192" s="16">
        <v>2000</v>
      </c>
    </row>
    <row r="193" spans="1:4" x14ac:dyDescent="0.25">
      <c r="A193" s="15" t="s">
        <v>253</v>
      </c>
      <c r="B193" s="16">
        <v>100000</v>
      </c>
      <c r="C193" s="16">
        <v>97000</v>
      </c>
      <c r="D193" s="16">
        <v>2000</v>
      </c>
    </row>
    <row r="194" spans="1:4" x14ac:dyDescent="0.25">
      <c r="A194" s="15" t="s">
        <v>637</v>
      </c>
      <c r="B194" s="16">
        <v>96000</v>
      </c>
      <c r="C194" s="16">
        <v>88800</v>
      </c>
      <c r="D194" s="16">
        <v>4800</v>
      </c>
    </row>
    <row r="195" spans="1:4" x14ac:dyDescent="0.25">
      <c r="A195" s="15" t="s">
        <v>657</v>
      </c>
      <c r="B195" s="16">
        <v>75000</v>
      </c>
      <c r="C195" s="16">
        <v>66000</v>
      </c>
      <c r="D195" s="16">
        <v>6000</v>
      </c>
    </row>
    <row r="196" spans="1:4" x14ac:dyDescent="0.25">
      <c r="A196" s="15" t="s">
        <v>290</v>
      </c>
      <c r="B196" s="16">
        <v>340000</v>
      </c>
      <c r="C196" s="16">
        <v>307600</v>
      </c>
      <c r="D196" s="16">
        <v>21600</v>
      </c>
    </row>
    <row r="197" spans="1:4" x14ac:dyDescent="0.25">
      <c r="A197" s="15" t="s">
        <v>351</v>
      </c>
      <c r="B197" s="16">
        <v>191000</v>
      </c>
      <c r="C197" s="16">
        <v>166400</v>
      </c>
      <c r="D197" s="16">
        <v>16400</v>
      </c>
    </row>
    <row r="198" spans="1:4" x14ac:dyDescent="0.25">
      <c r="A198" s="15" t="s">
        <v>188</v>
      </c>
      <c r="B198" s="16">
        <v>98000</v>
      </c>
      <c r="C198" s="16">
        <v>89600</v>
      </c>
      <c r="D198" s="16">
        <v>5600</v>
      </c>
    </row>
    <row r="199" spans="1:4" x14ac:dyDescent="0.25">
      <c r="A199" s="15" t="s">
        <v>80</v>
      </c>
      <c r="B199" s="16">
        <v>40000</v>
      </c>
      <c r="C199" s="16">
        <v>28000</v>
      </c>
      <c r="D199" s="16">
        <v>8000</v>
      </c>
    </row>
    <row r="200" spans="1:4" x14ac:dyDescent="0.25">
      <c r="A200" s="15" t="s">
        <v>200</v>
      </c>
      <c r="B200" s="16">
        <v>132000</v>
      </c>
      <c r="C200" s="16">
        <v>118800</v>
      </c>
      <c r="D200" s="16">
        <v>8800</v>
      </c>
    </row>
    <row r="201" spans="1:4" x14ac:dyDescent="0.25">
      <c r="A201" s="15" t="s">
        <v>655</v>
      </c>
      <c r="B201" s="16">
        <v>180000</v>
      </c>
      <c r="C201" s="16">
        <v>171000</v>
      </c>
      <c r="D201" s="16">
        <v>6000</v>
      </c>
    </row>
    <row r="202" spans="1:4" x14ac:dyDescent="0.25">
      <c r="A202" s="15" t="s">
        <v>676</v>
      </c>
      <c r="B202" s="16">
        <v>190000</v>
      </c>
      <c r="C202" s="16">
        <v>178600</v>
      </c>
      <c r="D202" s="16">
        <v>7600</v>
      </c>
    </row>
    <row r="203" spans="1:4" x14ac:dyDescent="0.25">
      <c r="A203" s="15" t="s">
        <v>647</v>
      </c>
      <c r="B203" s="16">
        <v>400000</v>
      </c>
      <c r="C203" s="16">
        <v>352000</v>
      </c>
      <c r="D203" s="16">
        <v>32000</v>
      </c>
    </row>
    <row r="204" spans="1:4" x14ac:dyDescent="0.25">
      <c r="A204" s="15" t="s">
        <v>473</v>
      </c>
      <c r="B204" s="16">
        <v>70000</v>
      </c>
      <c r="C204" s="16">
        <v>64000</v>
      </c>
      <c r="D204" s="16">
        <v>4000</v>
      </c>
    </row>
    <row r="205" spans="1:4" x14ac:dyDescent="0.25">
      <c r="A205" s="15" t="s">
        <v>665</v>
      </c>
      <c r="B205" s="16">
        <v>200000</v>
      </c>
      <c r="C205" s="16">
        <v>170000</v>
      </c>
      <c r="D205" s="16">
        <v>20000</v>
      </c>
    </row>
    <row r="206" spans="1:4" x14ac:dyDescent="0.25">
      <c r="A206" s="15" t="s">
        <v>611</v>
      </c>
      <c r="B206" s="16">
        <v>72000</v>
      </c>
      <c r="C206" s="16">
        <v>61200</v>
      </c>
      <c r="D206" s="16">
        <v>7200</v>
      </c>
    </row>
    <row r="207" spans="1:4" x14ac:dyDescent="0.25">
      <c r="A207" s="15" t="s">
        <v>340</v>
      </c>
      <c r="B207" s="16">
        <v>385000</v>
      </c>
      <c r="C207" s="16">
        <v>364000</v>
      </c>
      <c r="D207" s="16">
        <v>14000</v>
      </c>
    </row>
    <row r="208" spans="1:4" x14ac:dyDescent="0.25">
      <c r="A208" s="15" t="s">
        <v>226</v>
      </c>
      <c r="B208" s="16">
        <v>135000</v>
      </c>
      <c r="C208" s="16">
        <v>108000</v>
      </c>
      <c r="D208" s="16">
        <v>18000</v>
      </c>
    </row>
    <row r="209" spans="1:4" x14ac:dyDescent="0.25">
      <c r="A209" s="15" t="s">
        <v>51</v>
      </c>
      <c r="B209" s="16">
        <v>14000</v>
      </c>
      <c r="C209" s="16">
        <v>9800</v>
      </c>
      <c r="D209" s="16">
        <v>2800</v>
      </c>
    </row>
    <row r="210" spans="1:4" x14ac:dyDescent="0.25">
      <c r="A210" s="15" t="s">
        <v>241</v>
      </c>
      <c r="B210" s="16">
        <v>190000</v>
      </c>
      <c r="C210" s="16">
        <v>167200</v>
      </c>
      <c r="D210" s="16">
        <v>15200</v>
      </c>
    </row>
    <row r="211" spans="1:4" x14ac:dyDescent="0.25">
      <c r="A211" s="15" t="s">
        <v>57</v>
      </c>
      <c r="B211" s="16">
        <v>126000</v>
      </c>
      <c r="C211" s="16">
        <v>97200</v>
      </c>
      <c r="D211" s="16">
        <v>19200</v>
      </c>
    </row>
    <row r="212" spans="1:4" x14ac:dyDescent="0.25">
      <c r="A212" s="15" t="s">
        <v>594</v>
      </c>
      <c r="B212" s="16">
        <v>105000</v>
      </c>
      <c r="C212" s="16">
        <v>100800</v>
      </c>
      <c r="D212" s="16">
        <v>2800</v>
      </c>
    </row>
    <row r="213" spans="1:4" x14ac:dyDescent="0.25">
      <c r="A213" s="15" t="s">
        <v>698</v>
      </c>
      <c r="B213" s="16">
        <v>120000</v>
      </c>
      <c r="C213" s="16">
        <v>96000</v>
      </c>
      <c r="D213" s="16">
        <v>16000</v>
      </c>
    </row>
    <row r="214" spans="1:4" x14ac:dyDescent="0.25">
      <c r="A214" s="15" t="s">
        <v>163</v>
      </c>
      <c r="B214" s="16">
        <v>105000</v>
      </c>
      <c r="C214" s="16">
        <v>100800</v>
      </c>
      <c r="D214" s="16">
        <v>2800</v>
      </c>
    </row>
    <row r="215" spans="1:4" x14ac:dyDescent="0.25">
      <c r="A215" s="15" t="s">
        <v>98</v>
      </c>
      <c r="B215" s="16">
        <v>135000</v>
      </c>
      <c r="C215" s="16">
        <v>126000</v>
      </c>
      <c r="D215" s="16">
        <v>6000</v>
      </c>
    </row>
    <row r="216" spans="1:4" x14ac:dyDescent="0.25">
      <c r="A216" s="15" t="s">
        <v>718</v>
      </c>
      <c r="B216" s="16">
        <v>60000</v>
      </c>
      <c r="C216" s="16">
        <v>58200</v>
      </c>
      <c r="D216" s="16">
        <v>1200</v>
      </c>
    </row>
    <row r="217" spans="1:4" x14ac:dyDescent="0.25">
      <c r="A217" s="15" t="s">
        <v>442</v>
      </c>
      <c r="B217" s="16">
        <v>95000</v>
      </c>
      <c r="C217" s="16">
        <v>83600</v>
      </c>
      <c r="D217" s="16">
        <v>7600</v>
      </c>
    </row>
    <row r="218" spans="1:4" x14ac:dyDescent="0.25">
      <c r="A218" s="15" t="s">
        <v>214</v>
      </c>
      <c r="B218" s="16">
        <v>165000</v>
      </c>
      <c r="C218" s="16">
        <v>154200</v>
      </c>
      <c r="D218" s="16">
        <v>7200</v>
      </c>
    </row>
    <row r="219" spans="1:4" x14ac:dyDescent="0.25">
      <c r="A219" s="15" t="s">
        <v>728</v>
      </c>
      <c r="B219" s="16">
        <v>100000</v>
      </c>
      <c r="C219" s="16">
        <v>88000</v>
      </c>
      <c r="D219" s="16">
        <v>8000</v>
      </c>
    </row>
    <row r="220" spans="1:4" x14ac:dyDescent="0.25">
      <c r="A220" s="15" t="s">
        <v>277</v>
      </c>
      <c r="B220" s="16">
        <v>132000</v>
      </c>
      <c r="C220" s="16">
        <v>118800</v>
      </c>
      <c r="D220" s="16">
        <v>8800</v>
      </c>
    </row>
    <row r="221" spans="1:4" x14ac:dyDescent="0.25">
      <c r="A221" s="15" t="s">
        <v>570</v>
      </c>
      <c r="B221" s="16">
        <v>240000</v>
      </c>
      <c r="C221" s="16">
        <v>177000</v>
      </c>
      <c r="D221" s="16">
        <v>42000</v>
      </c>
    </row>
    <row r="222" spans="1:4" x14ac:dyDescent="0.25">
      <c r="A222" s="15" t="s">
        <v>259</v>
      </c>
      <c r="B222" s="16">
        <v>600000</v>
      </c>
      <c r="C222" s="16">
        <v>285000</v>
      </c>
      <c r="D222" s="16">
        <v>210000</v>
      </c>
    </row>
    <row r="223" spans="1:4" x14ac:dyDescent="0.25">
      <c r="A223" s="15" t="s">
        <v>710</v>
      </c>
      <c r="B223" s="16">
        <v>800000</v>
      </c>
      <c r="C223" s="16">
        <v>320000</v>
      </c>
      <c r="D223" s="16">
        <v>320000</v>
      </c>
    </row>
    <row r="224" spans="1:4" x14ac:dyDescent="0.25">
      <c r="A224" s="15" t="s">
        <v>427</v>
      </c>
      <c r="B224" s="16">
        <v>50000</v>
      </c>
      <c r="C224" s="16">
        <v>20000</v>
      </c>
      <c r="D224" s="16">
        <v>20000</v>
      </c>
    </row>
    <row r="225" spans="1:4" x14ac:dyDescent="0.25">
      <c r="A225" s="15" t="s">
        <v>448</v>
      </c>
      <c r="B225" s="16">
        <v>100000</v>
      </c>
      <c r="C225" s="16">
        <v>40000</v>
      </c>
      <c r="D225" s="16">
        <v>40000</v>
      </c>
    </row>
    <row r="226" spans="1:4" x14ac:dyDescent="0.25">
      <c r="A226" s="15" t="s">
        <v>206</v>
      </c>
      <c r="B226" s="16">
        <v>160000</v>
      </c>
      <c r="C226" s="16">
        <v>127000</v>
      </c>
      <c r="D226" s="16">
        <v>22000</v>
      </c>
    </row>
    <row r="227" spans="1:4" x14ac:dyDescent="0.25">
      <c r="A227" s="15" t="s">
        <v>61</v>
      </c>
      <c r="B227" s="16">
        <v>22000</v>
      </c>
      <c r="C227" s="16">
        <v>8800</v>
      </c>
      <c r="D227" s="16">
        <v>8800</v>
      </c>
    </row>
    <row r="228" spans="1:4" x14ac:dyDescent="0.25">
      <c r="A228" s="15" t="s">
        <v>642</v>
      </c>
      <c r="B228" s="16">
        <v>100000</v>
      </c>
      <c r="C228" s="16">
        <v>40000</v>
      </c>
      <c r="D228" s="16">
        <v>40000</v>
      </c>
    </row>
    <row r="229" spans="1:4" x14ac:dyDescent="0.25">
      <c r="A229" s="15" t="s">
        <v>489</v>
      </c>
      <c r="B229" s="16">
        <v>110000</v>
      </c>
      <c r="C229" s="16">
        <v>77000</v>
      </c>
      <c r="D229" s="16">
        <v>22000</v>
      </c>
    </row>
    <row r="230" spans="1:4" x14ac:dyDescent="0.25">
      <c r="A230" s="15" t="s">
        <v>468</v>
      </c>
      <c r="B230" s="16">
        <v>250000</v>
      </c>
      <c r="C230" s="16">
        <v>100000</v>
      </c>
      <c r="D230" s="16">
        <v>100000</v>
      </c>
    </row>
    <row r="231" spans="1:4" x14ac:dyDescent="0.25">
      <c r="A231" s="15" t="s">
        <v>530</v>
      </c>
      <c r="B231" s="16">
        <v>250000</v>
      </c>
      <c r="C231" s="16">
        <v>100000</v>
      </c>
      <c r="D231" s="16">
        <v>100000</v>
      </c>
    </row>
    <row r="232" spans="1:4" x14ac:dyDescent="0.25">
      <c r="A232" s="15" t="s">
        <v>233</v>
      </c>
      <c r="B232" s="16">
        <v>240000</v>
      </c>
      <c r="C232" s="16">
        <v>168000</v>
      </c>
      <c r="D232" s="16">
        <v>48000</v>
      </c>
    </row>
    <row r="233" spans="1:4" x14ac:dyDescent="0.25">
      <c r="A233" s="15" t="s">
        <v>32</v>
      </c>
      <c r="B233" s="16">
        <v>36000</v>
      </c>
      <c r="C233" s="16">
        <v>25200</v>
      </c>
      <c r="D233" s="16">
        <v>7200</v>
      </c>
    </row>
    <row r="234" spans="1:4" x14ac:dyDescent="0.25">
      <c r="A234" s="15" t="s">
        <v>589</v>
      </c>
      <c r="B234" s="16">
        <v>120000</v>
      </c>
      <c r="C234" s="16">
        <v>96000</v>
      </c>
      <c r="D234" s="16">
        <v>16000</v>
      </c>
    </row>
    <row r="235" spans="1:4" x14ac:dyDescent="0.25">
      <c r="A235" s="15" t="s">
        <v>129</v>
      </c>
      <c r="B235" s="16">
        <v>170000</v>
      </c>
      <c r="C235" s="16">
        <v>119000</v>
      </c>
      <c r="D235" s="16">
        <v>34000</v>
      </c>
    </row>
    <row r="236" spans="1:4" x14ac:dyDescent="0.25">
      <c r="A236" s="15" t="s">
        <v>623</v>
      </c>
      <c r="B236" s="16">
        <v>60000</v>
      </c>
      <c r="C236" s="16">
        <v>42000</v>
      </c>
      <c r="D236" s="16">
        <v>12000</v>
      </c>
    </row>
    <row r="237" spans="1:4" x14ac:dyDescent="0.25">
      <c r="A237" s="15" t="s">
        <v>333</v>
      </c>
      <c r="B237" s="16">
        <v>800000</v>
      </c>
      <c r="C237" s="16">
        <v>374000</v>
      </c>
      <c r="D237" s="16">
        <v>284000</v>
      </c>
    </row>
    <row r="238" spans="1:4" x14ac:dyDescent="0.25">
      <c r="A238" s="15" t="s">
        <v>104</v>
      </c>
      <c r="B238" s="16">
        <v>150000</v>
      </c>
      <c r="C238" s="16">
        <v>60000</v>
      </c>
      <c r="D238" s="16">
        <v>60000</v>
      </c>
    </row>
    <row r="239" spans="1:4" x14ac:dyDescent="0.25">
      <c r="A239" s="15" t="s">
        <v>381</v>
      </c>
      <c r="B239" s="16">
        <v>360000</v>
      </c>
      <c r="C239" s="16">
        <v>288000</v>
      </c>
      <c r="D239" s="16">
        <v>48000</v>
      </c>
    </row>
    <row r="240" spans="1:4" x14ac:dyDescent="0.25">
      <c r="A240" s="15" t="s">
        <v>83</v>
      </c>
      <c r="B240" s="16">
        <v>75000</v>
      </c>
      <c r="C240" s="16">
        <v>66000</v>
      </c>
      <c r="D240" s="16">
        <v>6000</v>
      </c>
    </row>
    <row r="241" spans="1:4" x14ac:dyDescent="0.25">
      <c r="A241" s="15" t="s">
        <v>693</v>
      </c>
      <c r="B241" s="16">
        <v>300000</v>
      </c>
      <c r="C241" s="16">
        <v>120000</v>
      </c>
      <c r="D241" s="16">
        <v>120000</v>
      </c>
    </row>
    <row r="242" spans="1:4" x14ac:dyDescent="0.25">
      <c r="A242" s="15" t="s">
        <v>182</v>
      </c>
      <c r="B242" s="16">
        <v>90000</v>
      </c>
      <c r="C242" s="16">
        <v>36000</v>
      </c>
      <c r="D242" s="16">
        <v>36000</v>
      </c>
    </row>
    <row r="243" spans="1:4" x14ac:dyDescent="0.25">
      <c r="A243" s="15" t="s">
        <v>726</v>
      </c>
      <c r="B243" s="16">
        <v>120000</v>
      </c>
      <c r="C243" s="16">
        <v>96000</v>
      </c>
      <c r="D243" s="16">
        <v>16000</v>
      </c>
    </row>
    <row r="244" spans="1:4" x14ac:dyDescent="0.25">
      <c r="A244" s="15" t="s">
        <v>358</v>
      </c>
      <c r="B244" s="16">
        <v>180000</v>
      </c>
      <c r="C244" s="16">
        <v>126000</v>
      </c>
      <c r="D244" s="16">
        <v>36000</v>
      </c>
    </row>
    <row r="245" spans="1:4" x14ac:dyDescent="0.25">
      <c r="A245" s="15" t="s">
        <v>1306</v>
      </c>
      <c r="B245" s="16">
        <v>35936500</v>
      </c>
      <c r="C245" s="16">
        <v>26745100</v>
      </c>
      <c r="D245" s="16">
        <v>6127600</v>
      </c>
    </row>
  </sheetData>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0D04-D781-4FBC-A58D-93D998149958}">
  <dimension ref="A1:W601"/>
  <sheetViews>
    <sheetView zoomScale="83" zoomScaleNormal="99" workbookViewId="0">
      <selection activeCell="K3" sqref="K3"/>
    </sheetView>
  </sheetViews>
  <sheetFormatPr defaultRowHeight="15" x14ac:dyDescent="0.25"/>
  <cols>
    <col min="1" max="1" width="11.5703125" bestFit="1" customWidth="1"/>
    <col min="2" max="2" width="14.28515625" bestFit="1" customWidth="1"/>
    <col min="3" max="3" width="20.7109375" bestFit="1" customWidth="1"/>
    <col min="4" max="4" width="18.28515625" bestFit="1" customWidth="1"/>
    <col min="5" max="5" width="31.28515625" bestFit="1" customWidth="1"/>
    <col min="6" max="6" width="6.85546875" style="11" bestFit="1" customWidth="1"/>
    <col min="7" max="7" width="16.28515625" style="16" bestFit="1" customWidth="1"/>
    <col min="8" max="8" width="16.28515625" style="16" customWidth="1"/>
    <col min="9" max="9" width="17.85546875" style="16" bestFit="1" customWidth="1"/>
    <col min="10" max="10" width="14.7109375" style="16" bestFit="1" customWidth="1"/>
    <col min="11" max="11" width="22.85546875" bestFit="1" customWidth="1"/>
    <col min="12" max="12" width="18.42578125" bestFit="1" customWidth="1"/>
    <col min="13" max="13" width="24.7109375" customWidth="1"/>
    <col min="14" max="14" width="26.5703125" bestFit="1" customWidth="1"/>
    <col min="15" max="15" width="14.7109375" customWidth="1"/>
    <col min="16" max="16" width="14.5703125" customWidth="1"/>
    <col min="17" max="17" width="20.140625" customWidth="1"/>
    <col min="18" max="18" width="26.7109375" customWidth="1"/>
    <col min="19" max="19" width="23" customWidth="1"/>
    <col min="20" max="20" width="20.7109375" bestFit="1" customWidth="1"/>
    <col min="21" max="21" width="23.7109375" customWidth="1"/>
    <col min="23" max="23" width="12.5703125" bestFit="1" customWidth="1"/>
  </cols>
  <sheetData>
    <row r="1" spans="1:23" x14ac:dyDescent="0.25">
      <c r="A1" t="s">
        <v>0</v>
      </c>
      <c r="B1" t="s">
        <v>1601</v>
      </c>
      <c r="C1" t="s">
        <v>1</v>
      </c>
      <c r="D1" t="s">
        <v>2</v>
      </c>
      <c r="E1" t="s">
        <v>3</v>
      </c>
      <c r="F1" t="s">
        <v>4</v>
      </c>
      <c r="G1" s="11" t="s">
        <v>5</v>
      </c>
      <c r="H1" s="16" t="s">
        <v>1300</v>
      </c>
      <c r="I1" s="16" t="s">
        <v>1303</v>
      </c>
      <c r="J1" s="16" t="s">
        <v>1304</v>
      </c>
      <c r="K1" s="16" t="s">
        <v>6</v>
      </c>
      <c r="L1" s="16" t="s">
        <v>1302</v>
      </c>
      <c r="M1" t="s">
        <v>7</v>
      </c>
      <c r="N1" t="s">
        <v>8</v>
      </c>
      <c r="P1" s="27" t="s">
        <v>72</v>
      </c>
      <c r="Q1" s="27"/>
      <c r="S1" s="27" t="s">
        <v>40</v>
      </c>
      <c r="T1" s="27"/>
      <c r="V1" s="27" t="s">
        <v>115</v>
      </c>
      <c r="W1" s="27"/>
    </row>
    <row r="2" spans="1:23" x14ac:dyDescent="0.25">
      <c r="A2" s="2">
        <v>45660</v>
      </c>
      <c r="B2">
        <f>YEAR(DataClean[[#This Row],[Tanggal]])</f>
        <v>2025</v>
      </c>
      <c r="C2" t="s">
        <v>10</v>
      </c>
      <c r="D2" t="s">
        <v>11</v>
      </c>
      <c r="E2" t="s">
        <v>12</v>
      </c>
      <c r="F2" t="s">
        <v>13</v>
      </c>
      <c r="G2" s="11">
        <v>3</v>
      </c>
      <c r="H2" s="16">
        <v>3500</v>
      </c>
      <c r="I2" s="16">
        <f>DataClean[Harga_Satuan]*0.6</f>
        <v>2100</v>
      </c>
      <c r="J2" s="16">
        <f>DataClean[Harga_Satuan]-DataClean[Modal]</f>
        <v>1400</v>
      </c>
      <c r="K2" s="16">
        <f>DataClean[[#This Row],[Qty]]*DataClean[[#This Row],[Harga_Satuan]]</f>
        <v>10500</v>
      </c>
      <c r="L2" s="16">
        <f>DataClean[Total_Penjualan]-DataClean[Modal]</f>
        <v>8400</v>
      </c>
      <c r="M2" t="s">
        <v>14</v>
      </c>
      <c r="N2" t="s">
        <v>15</v>
      </c>
      <c r="P2" t="s">
        <v>7</v>
      </c>
      <c r="Q2" t="s">
        <v>9</v>
      </c>
      <c r="R2" t="s">
        <v>1302</v>
      </c>
      <c r="S2" t="s">
        <v>26</v>
      </c>
      <c r="T2" s="16">
        <f>SUMIF(DataClean[Kategori_Produk],S2,DataClean[Total_Penjualan])</f>
        <v>9120000</v>
      </c>
      <c r="V2" t="s">
        <v>119</v>
      </c>
      <c r="W2" s="16">
        <f>SUMIF(DataClean[Nama_Toko],V2,DataClean[Total_Penjualan])</f>
        <v>140000</v>
      </c>
    </row>
    <row r="3" spans="1:23" x14ac:dyDescent="0.25">
      <c r="A3" s="2">
        <v>45679</v>
      </c>
      <c r="B3">
        <f>YEAR(DataClean[[#This Row],[Tanggal]])</f>
        <v>2025</v>
      </c>
      <c r="C3" t="s">
        <v>17</v>
      </c>
      <c r="D3" t="s">
        <v>18</v>
      </c>
      <c r="E3" t="s">
        <v>19</v>
      </c>
      <c r="F3" t="s">
        <v>20</v>
      </c>
      <c r="G3" s="11">
        <v>10</v>
      </c>
      <c r="H3" s="16">
        <v>4000</v>
      </c>
      <c r="I3" s="16">
        <f>DataClean[Harga_Satuan]*0.6</f>
        <v>2400</v>
      </c>
      <c r="J3" s="16">
        <f>DataClean[Harga_Satuan]-DataClean[Modal]</f>
        <v>1600</v>
      </c>
      <c r="K3" s="16">
        <f>DataClean[[#This Row],[Qty]]*DataClean[[#This Row],[Harga_Satuan]]</f>
        <v>40000</v>
      </c>
      <c r="L3" s="16">
        <f>DataClean[Total_Penjualan]-DataClean[Modal]</f>
        <v>37600</v>
      </c>
      <c r="M3" t="s">
        <v>21</v>
      </c>
      <c r="N3" t="s">
        <v>22</v>
      </c>
      <c r="P3" t="s">
        <v>21</v>
      </c>
      <c r="Q3" s="16">
        <f>SUMIF(DataClean[Kota],P3,DataClean[Total_Penjualan])</f>
        <v>7278500</v>
      </c>
      <c r="R3" s="16">
        <f>SUMIF(DataClean[Kota],P3,DataClean[Profit])</f>
        <v>5279900</v>
      </c>
      <c r="S3" t="s">
        <v>33</v>
      </c>
      <c r="T3" s="16">
        <f>SUMIF(DataClean[Kategori_Produk],S3,DataClean[Total_Penjualan])</f>
        <v>6165000</v>
      </c>
      <c r="V3" t="s">
        <v>123</v>
      </c>
      <c r="W3" s="16">
        <f>SUMIF(DataClean[Nama_Toko],V3,DataClean[Total_Penjualan])</f>
        <v>85000</v>
      </c>
    </row>
    <row r="4" spans="1:23" x14ac:dyDescent="0.25">
      <c r="A4" s="2">
        <v>45513</v>
      </c>
      <c r="B4">
        <f>YEAR(DataClean[[#This Row],[Tanggal]])</f>
        <v>2024</v>
      </c>
      <c r="C4" t="s">
        <v>24</v>
      </c>
      <c r="D4" t="s">
        <v>25</v>
      </c>
      <c r="E4" t="s">
        <v>26</v>
      </c>
      <c r="F4" t="s">
        <v>27</v>
      </c>
      <c r="G4" s="11">
        <v>1</v>
      </c>
      <c r="H4" s="16">
        <v>25000</v>
      </c>
      <c r="I4" s="16">
        <f>DataClean[Harga_Satuan]*0.6</f>
        <v>15000</v>
      </c>
      <c r="J4" s="16">
        <f>DataClean[Harga_Satuan]-DataClean[Modal]</f>
        <v>10000</v>
      </c>
      <c r="K4" s="16">
        <f>DataClean[[#This Row],[Qty]]*DataClean[[#This Row],[Harga_Satuan]]</f>
        <v>25000</v>
      </c>
      <c r="L4" s="16">
        <f>DataClean[Total_Penjualan]-DataClean[Modal]</f>
        <v>10000</v>
      </c>
      <c r="M4" t="s">
        <v>28</v>
      </c>
      <c r="N4" t="s">
        <v>29</v>
      </c>
      <c r="P4" t="s">
        <v>59</v>
      </c>
      <c r="Q4" s="16">
        <f>SUMIF(DataClean[Kota],P4,DataClean[Total_Penjualan])</f>
        <v>3967000</v>
      </c>
      <c r="R4" s="16">
        <f>SUMIF(DataClean[Kota],P4,DataClean[Profit])</f>
        <v>2935600</v>
      </c>
      <c r="S4" t="s">
        <v>48</v>
      </c>
      <c r="T4" s="16">
        <f>SUMIF(DataClean[Kategori_Produk],S4,DataClean[Total_Penjualan])</f>
        <v>9695000</v>
      </c>
      <c r="V4" t="s">
        <v>127</v>
      </c>
      <c r="W4" s="16">
        <f>SUMIF(DataClean[Nama_Toko],V4,DataClean[Total_Penjualan])</f>
        <v>72000</v>
      </c>
    </row>
    <row r="5" spans="1:23" x14ac:dyDescent="0.25">
      <c r="A5" s="2">
        <v>45190</v>
      </c>
      <c r="B5">
        <f>YEAR(DataClean[[#This Row],[Tanggal]])</f>
        <v>2023</v>
      </c>
      <c r="C5" t="s">
        <v>31</v>
      </c>
      <c r="D5" t="s">
        <v>32</v>
      </c>
      <c r="E5" t="s">
        <v>33</v>
      </c>
      <c r="F5" t="s">
        <v>34</v>
      </c>
      <c r="G5" s="11">
        <v>2</v>
      </c>
      <c r="H5" s="16">
        <v>18000</v>
      </c>
      <c r="I5" s="16">
        <f>DataClean[Harga_Satuan]*0.6</f>
        <v>10800</v>
      </c>
      <c r="J5" s="16">
        <f>DataClean[Harga_Satuan]-DataClean[Modal]</f>
        <v>7200</v>
      </c>
      <c r="K5" s="16">
        <f>DataClean[[#This Row],[Qty]]*DataClean[[#This Row],[Harga_Satuan]]</f>
        <v>36000</v>
      </c>
      <c r="L5" s="16">
        <f>DataClean[Total_Penjualan]-DataClean[Modal]</f>
        <v>25200</v>
      </c>
      <c r="M5" t="s">
        <v>35</v>
      </c>
      <c r="N5" t="s">
        <v>15</v>
      </c>
      <c r="P5" t="s">
        <v>39</v>
      </c>
      <c r="Q5" s="16">
        <f>SUMIF(DataClean[Kota],P5,DataClean[Total_Penjualan])</f>
        <v>3207500</v>
      </c>
      <c r="R5" s="16">
        <f>SUMIF(DataClean[Kota],P5,DataClean[Profit])</f>
        <v>2407400</v>
      </c>
      <c r="S5" t="s">
        <v>12</v>
      </c>
      <c r="T5" s="16">
        <f>SUMIF(DataClean[Kategori_Produk],S5,DataClean[Total_Penjualan])</f>
        <v>11166500</v>
      </c>
      <c r="V5" t="s">
        <v>131</v>
      </c>
      <c r="W5" s="16">
        <f>SUMIF(DataClean[Nama_Toko],V5,DataClean[Total_Penjualan])</f>
        <v>20000</v>
      </c>
    </row>
    <row r="6" spans="1:23" x14ac:dyDescent="0.25">
      <c r="A6" s="2">
        <v>45207</v>
      </c>
      <c r="B6">
        <f>YEAR(DataClean[[#This Row],[Tanggal]])</f>
        <v>2023</v>
      </c>
      <c r="C6" t="s">
        <v>36</v>
      </c>
      <c r="D6" t="s">
        <v>37</v>
      </c>
      <c r="E6" t="s">
        <v>12</v>
      </c>
      <c r="F6" t="s">
        <v>38</v>
      </c>
      <c r="G6" s="11">
        <v>5</v>
      </c>
      <c r="H6" s="16">
        <v>30000</v>
      </c>
      <c r="I6" s="16">
        <f>DataClean[Harga_Satuan]*0.6</f>
        <v>18000</v>
      </c>
      <c r="J6" s="16">
        <f>DataClean[Harga_Satuan]-DataClean[Modal]</f>
        <v>12000</v>
      </c>
      <c r="K6" s="16">
        <f>DataClean[[#This Row],[Qty]]*DataClean[[#This Row],[Harga_Satuan]]</f>
        <v>150000</v>
      </c>
      <c r="L6" s="16">
        <f>DataClean[Total_Penjualan]-DataClean[Modal]</f>
        <v>132000</v>
      </c>
      <c r="M6" t="s">
        <v>39</v>
      </c>
      <c r="N6" t="s">
        <v>22</v>
      </c>
      <c r="P6" t="s">
        <v>14</v>
      </c>
      <c r="Q6" s="16">
        <f>SUMIF(DataClean[Kota],P6,DataClean[Total_Penjualan])</f>
        <v>2749000</v>
      </c>
      <c r="R6" s="16">
        <f>SUMIF(DataClean[Kota],P6,DataClean[Profit])</f>
        <v>2016400</v>
      </c>
      <c r="S6" t="s">
        <v>19</v>
      </c>
      <c r="T6" s="16">
        <f>SUMIF(DataClean[Kategori_Produk],S6,DataClean[Total_Penjualan])</f>
        <v>4372000</v>
      </c>
      <c r="V6" t="s">
        <v>135</v>
      </c>
      <c r="W6" s="16">
        <f>SUMIF(DataClean[Nama_Toko],V6,DataClean[Total_Penjualan])</f>
        <v>65000</v>
      </c>
    </row>
    <row r="7" spans="1:23" x14ac:dyDescent="0.25">
      <c r="A7" s="2">
        <v>46004</v>
      </c>
      <c r="B7">
        <f>YEAR(DataClean[[#This Row],[Tanggal]])</f>
        <v>2025</v>
      </c>
      <c r="C7" t="s">
        <v>41</v>
      </c>
      <c r="D7" t="s">
        <v>42</v>
      </c>
      <c r="E7" t="s">
        <v>43</v>
      </c>
      <c r="F7" t="s">
        <v>44</v>
      </c>
      <c r="G7" s="11">
        <v>4</v>
      </c>
      <c r="H7" s="16">
        <v>50000</v>
      </c>
      <c r="I7" s="16">
        <f>DataClean[Harga_Satuan]*0.6</f>
        <v>30000</v>
      </c>
      <c r="J7" s="16">
        <f>DataClean[Harga_Satuan]-DataClean[Modal]</f>
        <v>20000</v>
      </c>
      <c r="K7" s="16">
        <f>DataClean[[#This Row],[Qty]]*DataClean[[#This Row],[Harga_Satuan]]</f>
        <v>200000</v>
      </c>
      <c r="L7" s="16">
        <f>DataClean[Total_Penjualan]-DataClean[Modal]</f>
        <v>170000</v>
      </c>
      <c r="M7" t="s">
        <v>45</v>
      </c>
      <c r="N7" t="s">
        <v>15</v>
      </c>
      <c r="P7" t="s">
        <v>63</v>
      </c>
      <c r="Q7" s="16">
        <f>SUMIF(DataClean[Kota],P7,DataClean[Total_Penjualan])</f>
        <v>22000</v>
      </c>
      <c r="R7" s="16">
        <f>SUMIF(DataClean[Kota],P7,DataClean[Profit])</f>
        <v>8800</v>
      </c>
      <c r="S7" t="s">
        <v>43</v>
      </c>
      <c r="T7" s="16">
        <f>SUMIF(DataClean[Kategori_Produk],S7,DataClean[Total_Penjualan])</f>
        <v>14170000</v>
      </c>
      <c r="V7" t="s">
        <v>139</v>
      </c>
      <c r="W7" s="16">
        <f>SUMIF(DataClean[Nama_Toko],V7,DataClean[Total_Penjualan])</f>
        <v>88000</v>
      </c>
    </row>
    <row r="8" spans="1:23" x14ac:dyDescent="0.25">
      <c r="A8" s="2">
        <v>45175</v>
      </c>
      <c r="B8">
        <f>YEAR(DataClean[[#This Row],[Tanggal]])</f>
        <v>2023</v>
      </c>
      <c r="C8" t="s">
        <v>46</v>
      </c>
      <c r="D8" t="s">
        <v>47</v>
      </c>
      <c r="E8" t="s">
        <v>48</v>
      </c>
      <c r="F8" t="s">
        <v>49</v>
      </c>
      <c r="G8" s="11">
        <v>1</v>
      </c>
      <c r="H8" s="16">
        <v>15000</v>
      </c>
      <c r="I8" s="16">
        <f>DataClean[Harga_Satuan]*0.6</f>
        <v>9000</v>
      </c>
      <c r="J8" s="16">
        <f>DataClean[Harga_Satuan]-DataClean[Modal]</f>
        <v>6000</v>
      </c>
      <c r="K8" s="16">
        <f>DataClean[[#This Row],[Qty]]*DataClean[[#This Row],[Harga_Satuan]]</f>
        <v>15000</v>
      </c>
      <c r="L8" s="16">
        <f>DataClean[Total_Penjualan]-DataClean[Modal]</f>
        <v>6000</v>
      </c>
      <c r="M8" t="s">
        <v>21</v>
      </c>
      <c r="N8" t="s">
        <v>29</v>
      </c>
      <c r="P8" t="s">
        <v>35</v>
      </c>
      <c r="Q8" s="16">
        <f>SUMIF(DataClean[Kota],P8,DataClean[Total_Penjualan])</f>
        <v>36000</v>
      </c>
      <c r="R8" s="16">
        <f>SUMIF(DataClean[Kota],P8,DataClean[Profit])</f>
        <v>25200</v>
      </c>
      <c r="V8" t="s">
        <v>143</v>
      </c>
      <c r="W8" s="16">
        <f>SUMIF(DataClean[Nama_Toko],V8,DataClean[Total_Penjualan])</f>
        <v>180000</v>
      </c>
    </row>
    <row r="9" spans="1:23" x14ac:dyDescent="0.25">
      <c r="A9" s="2">
        <v>45598</v>
      </c>
      <c r="B9">
        <f>YEAR(DataClean[[#This Row],[Tanggal]])</f>
        <v>2024</v>
      </c>
      <c r="C9" t="s">
        <v>50</v>
      </c>
      <c r="D9" t="s">
        <v>51</v>
      </c>
      <c r="E9" t="s">
        <v>12</v>
      </c>
      <c r="F9" t="s">
        <v>52</v>
      </c>
      <c r="G9" s="11">
        <v>8</v>
      </c>
      <c r="H9" s="16">
        <v>12500</v>
      </c>
      <c r="I9" s="16">
        <f>DataClean[Harga_Satuan]*0.6</f>
        <v>7500</v>
      </c>
      <c r="J9" s="16">
        <f>DataClean[Harga_Satuan]-DataClean[Modal]</f>
        <v>5000</v>
      </c>
      <c r="K9" s="16">
        <f>DataClean[[#This Row],[Qty]]*DataClean[[#This Row],[Harga_Satuan]]</f>
        <v>100000</v>
      </c>
      <c r="L9" s="16">
        <f>DataClean[Total_Penjualan]-DataClean[Modal]</f>
        <v>92500</v>
      </c>
      <c r="M9" t="s">
        <v>53</v>
      </c>
      <c r="N9" t="s">
        <v>15</v>
      </c>
      <c r="P9" t="s">
        <v>93</v>
      </c>
      <c r="Q9" s="16">
        <f>SUMIF(DataClean[Kota],P9,DataClean[Total_Penjualan])</f>
        <v>3499000</v>
      </c>
      <c r="R9" s="16">
        <f>SUMIF(DataClean[Kota],P9,DataClean[Profit])</f>
        <v>2243800</v>
      </c>
      <c r="S9" t="s">
        <v>9</v>
      </c>
      <c r="T9" s="1">
        <f>SUM(DataClean[Total_Penjualan])</f>
        <v>54688500</v>
      </c>
      <c r="V9" t="s">
        <v>125</v>
      </c>
      <c r="W9" s="16">
        <f>SUMIF(DataClean[Nama_Toko],V9,DataClean[Total_Penjualan])</f>
        <v>150000</v>
      </c>
    </row>
    <row r="10" spans="1:23" x14ac:dyDescent="0.25">
      <c r="A10" s="2">
        <v>44956</v>
      </c>
      <c r="B10">
        <f>YEAR(DataClean[[#This Row],[Tanggal]])</f>
        <v>2023</v>
      </c>
      <c r="C10" t="s">
        <v>54</v>
      </c>
      <c r="D10" t="s">
        <v>51</v>
      </c>
      <c r="E10" t="s">
        <v>19</v>
      </c>
      <c r="F10" t="s">
        <v>55</v>
      </c>
      <c r="G10" s="11">
        <v>2</v>
      </c>
      <c r="H10" s="16">
        <v>7000</v>
      </c>
      <c r="I10" s="16">
        <f>DataClean[Harga_Satuan]*0.6</f>
        <v>4200</v>
      </c>
      <c r="J10" s="16">
        <f>DataClean[Harga_Satuan]-DataClean[Modal]</f>
        <v>2800</v>
      </c>
      <c r="K10" s="16">
        <f>DataClean[[#This Row],[Qty]]*DataClean[[#This Row],[Harga_Satuan]]</f>
        <v>14000</v>
      </c>
      <c r="L10" s="16">
        <f>DataClean[Total_Penjualan]-DataClean[Modal]</f>
        <v>9800</v>
      </c>
      <c r="M10" t="s">
        <v>28</v>
      </c>
      <c r="N10" t="s">
        <v>22</v>
      </c>
      <c r="P10" t="s">
        <v>67</v>
      </c>
      <c r="Q10" s="16">
        <f>SUMIF(DataClean[Kota],P10,DataClean[Total_Penjualan])</f>
        <v>6239000</v>
      </c>
      <c r="R10" s="16">
        <f>SUMIF(DataClean[Kota],P10,DataClean[Profit])</f>
        <v>4715000</v>
      </c>
      <c r="S10" t="s">
        <v>16</v>
      </c>
      <c r="T10">
        <v>300</v>
      </c>
      <c r="V10" t="s">
        <v>150</v>
      </c>
      <c r="W10" s="16">
        <f>SUMIF(DataClean[Nama_Toko],V10,DataClean[Total_Penjualan])</f>
        <v>160000</v>
      </c>
    </row>
    <row r="11" spans="1:23" x14ac:dyDescent="0.25">
      <c r="A11" s="2">
        <v>45241</v>
      </c>
      <c r="B11">
        <f>YEAR(DataClean[[#This Row],[Tanggal]])</f>
        <v>2023</v>
      </c>
      <c r="C11" t="s">
        <v>56</v>
      </c>
      <c r="D11" t="s">
        <v>57</v>
      </c>
      <c r="E11" t="s">
        <v>26</v>
      </c>
      <c r="F11" t="s">
        <v>58</v>
      </c>
      <c r="G11" s="11">
        <v>3</v>
      </c>
      <c r="H11" s="16">
        <v>30000</v>
      </c>
      <c r="I11" s="16">
        <f>DataClean[Harga_Satuan]*0.6</f>
        <v>18000</v>
      </c>
      <c r="J11" s="16">
        <f>DataClean[Harga_Satuan]-DataClean[Modal]</f>
        <v>12000</v>
      </c>
      <c r="K11" s="16">
        <f>DataClean[[#This Row],[Qty]]*DataClean[[#This Row],[Harga_Satuan]]</f>
        <v>90000</v>
      </c>
      <c r="L11" s="16">
        <f>DataClean[Total_Penjualan]-DataClean[Modal]</f>
        <v>72000</v>
      </c>
      <c r="M11" t="s">
        <v>59</v>
      </c>
      <c r="N11" t="s">
        <v>29</v>
      </c>
      <c r="P11" t="s">
        <v>45</v>
      </c>
      <c r="Q11" s="16">
        <f>SUMIF(DataClean[Kota],P11,DataClean[Total_Penjualan])</f>
        <v>7456000</v>
      </c>
      <c r="R11" s="16">
        <f>SUMIF(DataClean[Kota],P11,DataClean[Profit])</f>
        <v>5466400</v>
      </c>
      <c r="S11" t="s">
        <v>23</v>
      </c>
      <c r="T11" s="16">
        <f>AVERAGE(DataClean[Total_Penjualan])</f>
        <v>182295</v>
      </c>
      <c r="V11" t="s">
        <v>153</v>
      </c>
      <c r="W11" s="16">
        <f>SUMIF(DataClean[Nama_Toko],V11,DataClean[Total_Penjualan])</f>
        <v>120000</v>
      </c>
    </row>
    <row r="12" spans="1:23" x14ac:dyDescent="0.25">
      <c r="A12" s="2">
        <v>45830</v>
      </c>
      <c r="B12">
        <f>YEAR(DataClean[[#This Row],[Tanggal]])</f>
        <v>2025</v>
      </c>
      <c r="C12" t="s">
        <v>60</v>
      </c>
      <c r="D12" t="s">
        <v>61</v>
      </c>
      <c r="E12" t="s">
        <v>33</v>
      </c>
      <c r="F12" t="s">
        <v>62</v>
      </c>
      <c r="G12" s="11">
        <v>1</v>
      </c>
      <c r="H12" s="16">
        <v>22000</v>
      </c>
      <c r="I12" s="16">
        <f>DataClean[Harga_Satuan]*0.6</f>
        <v>13200</v>
      </c>
      <c r="J12" s="16">
        <f>DataClean[Harga_Satuan]-DataClean[Modal]</f>
        <v>8800</v>
      </c>
      <c r="K12" s="16">
        <f>DataClean[[#This Row],[Qty]]*DataClean[[#This Row],[Harga_Satuan]]</f>
        <v>22000</v>
      </c>
      <c r="L12" s="16">
        <f>DataClean[Total_Penjualan]-DataClean[Modal]</f>
        <v>8800</v>
      </c>
      <c r="M12" t="s">
        <v>63</v>
      </c>
      <c r="N12" t="s">
        <v>15</v>
      </c>
      <c r="P12" t="s">
        <v>53</v>
      </c>
      <c r="Q12" s="16">
        <f>SUMIF(DataClean[Kota],P12,DataClean[Total_Penjualan])</f>
        <v>6111000</v>
      </c>
      <c r="R12" s="16">
        <f>SUMIF(DataClean[Kota],P12,DataClean[Profit])</f>
        <v>4372500</v>
      </c>
      <c r="S12" t="s">
        <v>30</v>
      </c>
      <c r="T12" s="16">
        <f>MAX(DataClean[Total_Penjualan])</f>
        <v>800000</v>
      </c>
      <c r="V12" t="s">
        <v>157</v>
      </c>
      <c r="W12" s="16">
        <f>SUMIF(DataClean[Nama_Toko],V12,DataClean[Total_Penjualan])</f>
        <v>120000</v>
      </c>
    </row>
    <row r="13" spans="1:23" x14ac:dyDescent="0.25">
      <c r="A13" s="2">
        <v>45420</v>
      </c>
      <c r="B13">
        <f>YEAR(DataClean[[#This Row],[Tanggal]])</f>
        <v>2024</v>
      </c>
      <c r="C13" t="s">
        <v>64</v>
      </c>
      <c r="D13" t="s">
        <v>65</v>
      </c>
      <c r="E13" t="s">
        <v>12</v>
      </c>
      <c r="F13" t="s">
        <v>66</v>
      </c>
      <c r="G13" s="11">
        <v>6</v>
      </c>
      <c r="H13" s="16">
        <v>8000</v>
      </c>
      <c r="I13" s="16">
        <f>DataClean[Harga_Satuan]*0.6</f>
        <v>4800</v>
      </c>
      <c r="J13" s="16">
        <f>DataClean[Harga_Satuan]-DataClean[Modal]</f>
        <v>3200</v>
      </c>
      <c r="K13" s="16">
        <f>DataClean[[#This Row],[Qty]]*DataClean[[#This Row],[Harga_Satuan]]</f>
        <v>48000</v>
      </c>
      <c r="L13" s="16">
        <f>DataClean[Total_Penjualan]-DataClean[Modal]</f>
        <v>43200</v>
      </c>
      <c r="M13" t="s">
        <v>67</v>
      </c>
      <c r="N13" t="s">
        <v>22</v>
      </c>
      <c r="P13" t="s">
        <v>28</v>
      </c>
      <c r="Q13" s="16">
        <f>SUMIF(DataClean[Kota],P13,DataClean[Total_Penjualan])</f>
        <v>7371500</v>
      </c>
      <c r="R13" s="16">
        <f>SUMIF(DataClean[Kota],P13,DataClean[Profit])</f>
        <v>5583200</v>
      </c>
      <c r="S13" t="s">
        <v>1301</v>
      </c>
      <c r="T13" s="12">
        <f>SUM(DataClean[Qty])</f>
        <v>1596</v>
      </c>
      <c r="V13" t="s">
        <v>161</v>
      </c>
      <c r="W13" s="16">
        <f>SUMIF(DataClean[Nama_Toko],V13,DataClean[Total_Penjualan])</f>
        <v>72000</v>
      </c>
    </row>
    <row r="14" spans="1:23" x14ac:dyDescent="0.25">
      <c r="A14" s="2">
        <v>45318</v>
      </c>
      <c r="B14">
        <f>YEAR(DataClean[[#This Row],[Tanggal]])</f>
        <v>2024</v>
      </c>
      <c r="C14" t="s">
        <v>68</v>
      </c>
      <c r="D14" t="s">
        <v>69</v>
      </c>
      <c r="E14" t="s">
        <v>43</v>
      </c>
      <c r="F14" t="s">
        <v>70</v>
      </c>
      <c r="G14" s="11">
        <v>1</v>
      </c>
      <c r="H14" s="16">
        <v>350000</v>
      </c>
      <c r="I14" s="16">
        <f>DataClean[Harga_Satuan]*0.6</f>
        <v>210000</v>
      </c>
      <c r="J14" s="16">
        <f>DataClean[Harga_Satuan]-DataClean[Modal]</f>
        <v>140000</v>
      </c>
      <c r="K14" s="16">
        <f>DataClean[[#This Row],[Qty]]*DataClean[[#This Row],[Harga_Satuan]]</f>
        <v>350000</v>
      </c>
      <c r="L14" s="16">
        <f>DataClean[Total_Penjualan]-DataClean[Modal]</f>
        <v>140000</v>
      </c>
      <c r="M14" t="s">
        <v>71</v>
      </c>
      <c r="N14" t="s">
        <v>29</v>
      </c>
      <c r="P14" t="s">
        <v>71</v>
      </c>
      <c r="Q14" s="16">
        <f>SUMIF(DataClean[Kota],P14,DataClean[Total_Penjualan])</f>
        <v>6752000</v>
      </c>
      <c r="R14" s="16">
        <f>SUMIF(DataClean[Kota],P14,DataClean[Profit])</f>
        <v>4800200</v>
      </c>
      <c r="S14" t="s">
        <v>1302</v>
      </c>
      <c r="T14" s="13">
        <f>SUM((DataClean[Harga_Satuan]-DataClean[Modal])*DataClean[Qty])</f>
        <v>140000</v>
      </c>
      <c r="V14" t="s">
        <v>74</v>
      </c>
      <c r="W14" s="16">
        <f>SUMIF(DataClean[Nama_Toko],V14,DataClean[Total_Penjualan])</f>
        <v>203000</v>
      </c>
    </row>
    <row r="15" spans="1:23" x14ac:dyDescent="0.25">
      <c r="A15" s="2">
        <v>45111</v>
      </c>
      <c r="B15">
        <f>YEAR(DataClean[[#This Row],[Tanggal]])</f>
        <v>2023</v>
      </c>
      <c r="C15" t="s">
        <v>73</v>
      </c>
      <c r="D15" t="s">
        <v>74</v>
      </c>
      <c r="E15" t="s">
        <v>48</v>
      </c>
      <c r="F15" t="s">
        <v>75</v>
      </c>
      <c r="G15" s="11">
        <v>1</v>
      </c>
      <c r="H15" s="16">
        <v>75000</v>
      </c>
      <c r="I15" s="16">
        <f>DataClean[Harga_Satuan]*0.6</f>
        <v>45000</v>
      </c>
      <c r="J15" s="16">
        <f>DataClean[Harga_Satuan]-DataClean[Modal]</f>
        <v>30000</v>
      </c>
      <c r="K15" s="16">
        <f>DataClean[[#This Row],[Qty]]*DataClean[[#This Row],[Harga_Satuan]]</f>
        <v>75000</v>
      </c>
      <c r="L15" s="16">
        <f>DataClean[Total_Penjualan]-DataClean[Modal]</f>
        <v>30000</v>
      </c>
      <c r="M15" t="s">
        <v>45</v>
      </c>
      <c r="N15" t="s">
        <v>15</v>
      </c>
      <c r="S15" t="s">
        <v>1307</v>
      </c>
      <c r="T15">
        <f>SUMIFS(DataClean[Total_Penjualan], DataClean[ID_Transaksi], DataClean[ID_Transaksi])</f>
        <v>75000</v>
      </c>
      <c r="V15" t="s">
        <v>168</v>
      </c>
      <c r="W15" s="16">
        <f>SUMIF(DataClean[Nama_Toko],V15,DataClean[Total_Penjualan])</f>
        <v>165000</v>
      </c>
    </row>
    <row r="16" spans="1:23" x14ac:dyDescent="0.25">
      <c r="A16" s="2">
        <v>45322</v>
      </c>
      <c r="B16">
        <f>YEAR(DataClean[[#This Row],[Tanggal]])</f>
        <v>2024</v>
      </c>
      <c r="C16" t="s">
        <v>76</v>
      </c>
      <c r="D16" t="s">
        <v>77</v>
      </c>
      <c r="E16" t="s">
        <v>12</v>
      </c>
      <c r="F16" t="s">
        <v>78</v>
      </c>
      <c r="G16" s="11">
        <v>4</v>
      </c>
      <c r="H16" s="16">
        <v>28000</v>
      </c>
      <c r="I16" s="16">
        <f>DataClean[Harga_Satuan]*0.6</f>
        <v>16800</v>
      </c>
      <c r="J16" s="16">
        <f>DataClean[Harga_Satuan]-DataClean[Modal]</f>
        <v>11200</v>
      </c>
      <c r="K16" s="16">
        <f>DataClean[[#This Row],[Qty]]*DataClean[[#This Row],[Harga_Satuan]]</f>
        <v>112000</v>
      </c>
      <c r="L16" s="16">
        <f>DataClean[Total_Penjualan]-DataClean[Modal]</f>
        <v>95200</v>
      </c>
      <c r="M16" t="s">
        <v>21</v>
      </c>
      <c r="N16" t="s">
        <v>15</v>
      </c>
      <c r="V16" t="s">
        <v>172</v>
      </c>
      <c r="W16" s="16">
        <f>SUMIF(DataClean[Nama_Toko],V16,DataClean[Total_Penjualan])</f>
        <v>90000</v>
      </c>
    </row>
    <row r="17" spans="1:23" x14ac:dyDescent="0.25">
      <c r="A17" s="2">
        <v>45749</v>
      </c>
      <c r="B17">
        <f>YEAR(DataClean[[#This Row],[Tanggal]])</f>
        <v>2025</v>
      </c>
      <c r="C17" t="s">
        <v>79</v>
      </c>
      <c r="D17" t="s">
        <v>80</v>
      </c>
      <c r="E17" t="s">
        <v>19</v>
      </c>
      <c r="F17" t="s">
        <v>81</v>
      </c>
      <c r="G17" s="11">
        <v>2</v>
      </c>
      <c r="H17" s="16">
        <v>20000</v>
      </c>
      <c r="I17" s="16">
        <f>DataClean[Harga_Satuan]*0.6</f>
        <v>12000</v>
      </c>
      <c r="J17" s="16">
        <f>DataClean[Harga_Satuan]-DataClean[Modal]</f>
        <v>8000</v>
      </c>
      <c r="K17" s="16">
        <f>DataClean[[#This Row],[Qty]]*DataClean[[#This Row],[Harga_Satuan]]</f>
        <v>40000</v>
      </c>
      <c r="L17" s="16">
        <f>DataClean[Total_Penjualan]-DataClean[Modal]</f>
        <v>28000</v>
      </c>
      <c r="M17" t="s">
        <v>53</v>
      </c>
      <c r="N17" t="s">
        <v>22</v>
      </c>
      <c r="P17">
        <f>COUNTA(DataClean[ID_Transaksi])</f>
        <v>300</v>
      </c>
      <c r="S17" s="27" t="s">
        <v>1577</v>
      </c>
      <c r="T17" s="27"/>
      <c r="V17" t="s">
        <v>176</v>
      </c>
      <c r="W17" s="16">
        <f>SUMIF(DataClean[Nama_Toko],V17,DataClean[Total_Penjualan])</f>
        <v>132000</v>
      </c>
    </row>
    <row r="18" spans="1:23" x14ac:dyDescent="0.25">
      <c r="A18" s="2">
        <v>45038</v>
      </c>
      <c r="B18">
        <f>YEAR(DataClean[[#This Row],[Tanggal]])</f>
        <v>2023</v>
      </c>
      <c r="C18" t="s">
        <v>82</v>
      </c>
      <c r="D18" t="s">
        <v>83</v>
      </c>
      <c r="E18" t="s">
        <v>26</v>
      </c>
      <c r="F18" t="s">
        <v>84</v>
      </c>
      <c r="G18" s="11">
        <v>5</v>
      </c>
      <c r="H18" s="16">
        <v>15000</v>
      </c>
      <c r="I18" s="16">
        <f>DataClean[Harga_Satuan]*0.6</f>
        <v>9000</v>
      </c>
      <c r="J18" s="16">
        <f>DataClean[Harga_Satuan]-DataClean[Modal]</f>
        <v>6000</v>
      </c>
      <c r="K18" s="16">
        <f>DataClean[[#This Row],[Qty]]*DataClean[[#This Row],[Harga_Satuan]]</f>
        <v>75000</v>
      </c>
      <c r="L18" s="16">
        <f>DataClean[Total_Penjualan]-DataClean[Modal]</f>
        <v>66000</v>
      </c>
      <c r="M18" t="s">
        <v>28</v>
      </c>
      <c r="N18" t="s">
        <v>29</v>
      </c>
      <c r="S18" t="s">
        <v>15</v>
      </c>
      <c r="T18" s="16">
        <f>SUMIF(DataClean[Metode_Pembayaran], S18, DataClean[Total_Penjualan])</f>
        <v>24772000</v>
      </c>
      <c r="V18" t="s">
        <v>180</v>
      </c>
      <c r="W18" s="16">
        <f>SUMIF(DataClean[Nama_Toko],V18,DataClean[Total_Penjualan])</f>
        <v>90000</v>
      </c>
    </row>
    <row r="19" spans="1:23" x14ac:dyDescent="0.25">
      <c r="A19" s="2">
        <v>45596</v>
      </c>
      <c r="B19">
        <f>YEAR(DataClean[[#This Row],[Tanggal]])</f>
        <v>2024</v>
      </c>
      <c r="C19" t="s">
        <v>85</v>
      </c>
      <c r="D19" t="s">
        <v>86</v>
      </c>
      <c r="E19" t="s">
        <v>33</v>
      </c>
      <c r="F19" t="s">
        <v>87</v>
      </c>
      <c r="G19" s="11">
        <v>1</v>
      </c>
      <c r="H19" s="16">
        <v>55000</v>
      </c>
      <c r="I19" s="16">
        <f>DataClean[Harga_Satuan]*0.6</f>
        <v>33000</v>
      </c>
      <c r="J19" s="16">
        <f>DataClean[Harga_Satuan]-DataClean[Modal]</f>
        <v>22000</v>
      </c>
      <c r="K19" s="16">
        <f>DataClean[[#This Row],[Qty]]*DataClean[[#This Row],[Harga_Satuan]]</f>
        <v>55000</v>
      </c>
      <c r="L19" s="16">
        <f>DataClean[Total_Penjualan]-DataClean[Modal]</f>
        <v>22000</v>
      </c>
      <c r="M19" t="s">
        <v>59</v>
      </c>
      <c r="N19" t="s">
        <v>15</v>
      </c>
      <c r="P19">
        <f>AVERAGE(DataClean[Margin])</f>
        <v>32964.666666666664</v>
      </c>
      <c r="S19" t="s">
        <v>29</v>
      </c>
      <c r="T19" s="16">
        <f>SUMIF(DataClean[Metode_Pembayaran], S19, DataClean[Total_Penjualan])</f>
        <v>19090000</v>
      </c>
      <c r="V19" t="s">
        <v>184</v>
      </c>
      <c r="W19" s="16">
        <f>SUMIF(DataClean[Nama_Toko],V19,DataClean[Total_Penjualan])</f>
        <v>105000</v>
      </c>
    </row>
    <row r="20" spans="1:23" x14ac:dyDescent="0.25">
      <c r="A20" s="2">
        <v>45363</v>
      </c>
      <c r="B20">
        <f>YEAR(DataClean[[#This Row],[Tanggal]])</f>
        <v>2024</v>
      </c>
      <c r="C20" t="s">
        <v>88</v>
      </c>
      <c r="D20" t="s">
        <v>86</v>
      </c>
      <c r="E20" t="s">
        <v>12</v>
      </c>
      <c r="F20" t="s">
        <v>89</v>
      </c>
      <c r="G20" s="11">
        <v>10</v>
      </c>
      <c r="H20" s="16">
        <v>11000</v>
      </c>
      <c r="I20" s="16">
        <f>DataClean[Harga_Satuan]*0.6</f>
        <v>6600</v>
      </c>
      <c r="J20" s="16">
        <f>DataClean[Harga_Satuan]-DataClean[Modal]</f>
        <v>4400</v>
      </c>
      <c r="K20" s="16">
        <f>DataClean[[#This Row],[Qty]]*DataClean[[#This Row],[Harga_Satuan]]</f>
        <v>110000</v>
      </c>
      <c r="L20" s="16">
        <f>DataClean[Total_Penjualan]-DataClean[Modal]</f>
        <v>103400</v>
      </c>
      <c r="M20" t="s">
        <v>14</v>
      </c>
      <c r="N20" t="s">
        <v>22</v>
      </c>
      <c r="S20" t="s">
        <v>22</v>
      </c>
      <c r="T20" s="16">
        <f>SUMIF(DataClean[Metode_Pembayaran], S20, DataClean[Total_Penjualan])</f>
        <v>10826500</v>
      </c>
      <c r="V20" t="s">
        <v>101</v>
      </c>
      <c r="W20" s="16">
        <f>SUMIF(DataClean[Nama_Toko],V20,DataClean[Total_Penjualan])</f>
        <v>122500</v>
      </c>
    </row>
    <row r="21" spans="1:23" x14ac:dyDescent="0.25">
      <c r="A21" s="2">
        <v>45907</v>
      </c>
      <c r="B21">
        <f>YEAR(DataClean[[#This Row],[Tanggal]])</f>
        <v>2025</v>
      </c>
      <c r="C21" t="s">
        <v>90</v>
      </c>
      <c r="D21" t="s">
        <v>91</v>
      </c>
      <c r="E21" t="s">
        <v>43</v>
      </c>
      <c r="F21" t="s">
        <v>92</v>
      </c>
      <c r="G21" s="11">
        <v>3</v>
      </c>
      <c r="H21" s="16">
        <v>120000</v>
      </c>
      <c r="I21" s="16">
        <f>DataClean[Harga_Satuan]*0.6</f>
        <v>72000</v>
      </c>
      <c r="J21" s="16">
        <f>DataClean[Harga_Satuan]-DataClean[Modal]</f>
        <v>48000</v>
      </c>
      <c r="K21" s="16">
        <f>DataClean[[#This Row],[Qty]]*DataClean[[#This Row],[Harga_Satuan]]</f>
        <v>360000</v>
      </c>
      <c r="L21" s="16">
        <f>DataClean[Total_Penjualan]-DataClean[Modal]</f>
        <v>288000</v>
      </c>
      <c r="M21" t="s">
        <v>45</v>
      </c>
      <c r="N21" t="s">
        <v>15</v>
      </c>
      <c r="V21" t="s">
        <v>190</v>
      </c>
      <c r="W21" s="16">
        <f>SUMIF(DataClean[Nama_Toko],V21,DataClean[Total_Penjualan])</f>
        <v>81000</v>
      </c>
    </row>
    <row r="22" spans="1:23" x14ac:dyDescent="0.25">
      <c r="A22" s="2">
        <v>45379</v>
      </c>
      <c r="B22">
        <f>YEAR(DataClean[[#This Row],[Tanggal]])</f>
        <v>2024</v>
      </c>
      <c r="C22" t="s">
        <v>94</v>
      </c>
      <c r="D22" t="s">
        <v>95</v>
      </c>
      <c r="E22" t="s">
        <v>48</v>
      </c>
      <c r="F22" t="s">
        <v>96</v>
      </c>
      <c r="G22" s="11">
        <v>2</v>
      </c>
      <c r="H22" s="16">
        <v>45000</v>
      </c>
      <c r="I22" s="16">
        <f>DataClean[Harga_Satuan]*0.6</f>
        <v>27000</v>
      </c>
      <c r="J22" s="16">
        <f>DataClean[Harga_Satuan]-DataClean[Modal]</f>
        <v>18000</v>
      </c>
      <c r="K22" s="16">
        <f>DataClean[[#This Row],[Qty]]*DataClean[[#This Row],[Harga_Satuan]]</f>
        <v>90000</v>
      </c>
      <c r="L22" s="16">
        <f>DataClean[Total_Penjualan]-DataClean[Modal]</f>
        <v>63000</v>
      </c>
      <c r="M22" t="s">
        <v>71</v>
      </c>
      <c r="N22" t="s">
        <v>29</v>
      </c>
      <c r="V22" t="s">
        <v>194</v>
      </c>
      <c r="W22" s="16">
        <f>SUMIF(DataClean[Nama_Toko],V22,DataClean[Total_Penjualan])</f>
        <v>100000</v>
      </c>
    </row>
    <row r="23" spans="1:23" x14ac:dyDescent="0.25">
      <c r="A23" s="2">
        <v>45338</v>
      </c>
      <c r="B23">
        <f>YEAR(DataClean[[#This Row],[Tanggal]])</f>
        <v>2024</v>
      </c>
      <c r="C23" t="s">
        <v>97</v>
      </c>
      <c r="D23" t="s">
        <v>98</v>
      </c>
      <c r="E23" t="s">
        <v>12</v>
      </c>
      <c r="F23" t="s">
        <v>99</v>
      </c>
      <c r="G23" s="11">
        <v>12</v>
      </c>
      <c r="H23" s="16">
        <v>20000</v>
      </c>
      <c r="I23" s="16">
        <f>DataClean[Harga_Satuan]*0.6</f>
        <v>12000</v>
      </c>
      <c r="J23" s="16">
        <f>DataClean[Harga_Satuan]-DataClean[Modal]</f>
        <v>8000</v>
      </c>
      <c r="K23" s="16">
        <f>DataClean[[#This Row],[Qty]]*DataClean[[#This Row],[Harga_Satuan]]</f>
        <v>240000</v>
      </c>
      <c r="L23" s="16">
        <f>DataClean[Total_Penjualan]-DataClean[Modal]</f>
        <v>228000</v>
      </c>
      <c r="M23" t="s">
        <v>67</v>
      </c>
      <c r="N23" t="s">
        <v>15</v>
      </c>
      <c r="V23" t="s">
        <v>198</v>
      </c>
      <c r="W23" s="16">
        <f>SUMIF(DataClean[Nama_Toko],V23,DataClean[Total_Penjualan])</f>
        <v>249500</v>
      </c>
    </row>
    <row r="24" spans="1:23" x14ac:dyDescent="0.25">
      <c r="A24" s="2">
        <v>45585</v>
      </c>
      <c r="B24">
        <f>YEAR(DataClean[[#This Row],[Tanggal]])</f>
        <v>2024</v>
      </c>
      <c r="C24" t="s">
        <v>100</v>
      </c>
      <c r="D24" t="s">
        <v>101</v>
      </c>
      <c r="E24" t="s">
        <v>19</v>
      </c>
      <c r="F24" t="s">
        <v>102</v>
      </c>
      <c r="G24" s="11">
        <v>7</v>
      </c>
      <c r="H24" s="16">
        <v>17500</v>
      </c>
      <c r="I24" s="16">
        <f>DataClean[Harga_Satuan]*0.6</f>
        <v>10500</v>
      </c>
      <c r="J24" s="16">
        <f>DataClean[Harga_Satuan]-DataClean[Modal]</f>
        <v>7000</v>
      </c>
      <c r="K24" s="16">
        <f>DataClean[[#This Row],[Qty]]*DataClean[[#This Row],[Harga_Satuan]]</f>
        <v>122500</v>
      </c>
      <c r="L24" s="16">
        <f>DataClean[Total_Penjualan]-DataClean[Modal]</f>
        <v>112000</v>
      </c>
      <c r="M24" t="s">
        <v>21</v>
      </c>
      <c r="N24" t="s">
        <v>22</v>
      </c>
      <c r="V24" t="s">
        <v>202</v>
      </c>
      <c r="W24" s="16">
        <f>SUMIF(DataClean[Nama_Toko],V24,DataClean[Total_Penjualan])</f>
        <v>110000</v>
      </c>
    </row>
    <row r="25" spans="1:23" x14ac:dyDescent="0.25">
      <c r="A25" s="2">
        <v>45186</v>
      </c>
      <c r="B25">
        <f>YEAR(DataClean[[#This Row],[Tanggal]])</f>
        <v>2023</v>
      </c>
      <c r="C25" t="s">
        <v>103</v>
      </c>
      <c r="D25" t="s">
        <v>104</v>
      </c>
      <c r="E25" t="s">
        <v>26</v>
      </c>
      <c r="F25" t="s">
        <v>105</v>
      </c>
      <c r="G25" s="11">
        <v>1</v>
      </c>
      <c r="H25" s="16">
        <v>150000</v>
      </c>
      <c r="I25" s="16">
        <f>DataClean[Harga_Satuan]*0.6</f>
        <v>90000</v>
      </c>
      <c r="J25" s="16">
        <f>DataClean[Harga_Satuan]-DataClean[Modal]</f>
        <v>60000</v>
      </c>
      <c r="K25" s="16">
        <f>DataClean[[#This Row],[Qty]]*DataClean[[#This Row],[Harga_Satuan]]</f>
        <v>150000</v>
      </c>
      <c r="L25" s="16">
        <f>DataClean[Total_Penjualan]-DataClean[Modal]</f>
        <v>60000</v>
      </c>
      <c r="M25" t="s">
        <v>53</v>
      </c>
      <c r="N25" t="s">
        <v>29</v>
      </c>
      <c r="V25" t="s">
        <v>178</v>
      </c>
      <c r="W25" s="16">
        <f>SUMIF(DataClean[Nama_Toko],V25,DataClean[Total_Penjualan])</f>
        <v>108000</v>
      </c>
    </row>
    <row r="26" spans="1:23" x14ac:dyDescent="0.25">
      <c r="A26" s="2">
        <v>44985</v>
      </c>
      <c r="B26">
        <f>YEAR(DataClean[[#This Row],[Tanggal]])</f>
        <v>2023</v>
      </c>
      <c r="C26" t="s">
        <v>106</v>
      </c>
      <c r="D26" t="s">
        <v>107</v>
      </c>
      <c r="E26" t="s">
        <v>33</v>
      </c>
      <c r="F26" t="s">
        <v>108</v>
      </c>
      <c r="G26" s="11">
        <v>3</v>
      </c>
      <c r="H26" s="16">
        <v>40000</v>
      </c>
      <c r="I26" s="16">
        <f>DataClean[Harga_Satuan]*0.6</f>
        <v>24000</v>
      </c>
      <c r="J26" s="16">
        <f>DataClean[Harga_Satuan]-DataClean[Modal]</f>
        <v>16000</v>
      </c>
      <c r="K26" s="16">
        <f>DataClean[[#This Row],[Qty]]*DataClean[[#This Row],[Harga_Satuan]]</f>
        <v>120000</v>
      </c>
      <c r="L26" s="16">
        <f>DataClean[Total_Penjualan]-DataClean[Modal]</f>
        <v>96000</v>
      </c>
      <c r="M26" t="s">
        <v>28</v>
      </c>
      <c r="N26" t="s">
        <v>15</v>
      </c>
      <c r="V26" t="s">
        <v>208</v>
      </c>
      <c r="W26" s="16">
        <f>SUMIF(DataClean[Nama_Toko],V26,DataClean[Total_Penjualan])</f>
        <v>90000</v>
      </c>
    </row>
    <row r="27" spans="1:23" x14ac:dyDescent="0.25">
      <c r="A27" s="2">
        <v>45560</v>
      </c>
      <c r="B27">
        <f>YEAR(DataClean[[#This Row],[Tanggal]])</f>
        <v>2024</v>
      </c>
      <c r="C27" t="s">
        <v>109</v>
      </c>
      <c r="D27" t="s">
        <v>110</v>
      </c>
      <c r="E27" t="s">
        <v>12</v>
      </c>
      <c r="F27" t="s">
        <v>111</v>
      </c>
      <c r="G27" s="11">
        <v>9</v>
      </c>
      <c r="H27" s="16">
        <v>13500</v>
      </c>
      <c r="I27" s="16">
        <f>DataClean[Harga_Satuan]*0.6</f>
        <v>8100</v>
      </c>
      <c r="J27" s="16">
        <f>DataClean[Harga_Satuan]-DataClean[Modal]</f>
        <v>5400</v>
      </c>
      <c r="K27" s="16">
        <f>DataClean[[#This Row],[Qty]]*DataClean[[#This Row],[Harga_Satuan]]</f>
        <v>121500</v>
      </c>
      <c r="L27" s="16">
        <f>DataClean[Total_Penjualan]-DataClean[Modal]</f>
        <v>113400</v>
      </c>
      <c r="M27" t="s">
        <v>39</v>
      </c>
      <c r="N27" t="s">
        <v>22</v>
      </c>
      <c r="V27" t="s">
        <v>212</v>
      </c>
      <c r="W27" s="16">
        <f>SUMIF(DataClean[Nama_Toko],V27,DataClean[Total_Penjualan])</f>
        <v>98000</v>
      </c>
    </row>
    <row r="28" spans="1:23" x14ac:dyDescent="0.25">
      <c r="A28" s="2">
        <v>45725</v>
      </c>
      <c r="B28">
        <f>YEAR(DataClean[[#This Row],[Tanggal]])</f>
        <v>2025</v>
      </c>
      <c r="C28" t="s">
        <v>112</v>
      </c>
      <c r="D28" t="s">
        <v>113</v>
      </c>
      <c r="E28" t="s">
        <v>43</v>
      </c>
      <c r="F28" t="s">
        <v>114</v>
      </c>
      <c r="G28" s="11">
        <v>1</v>
      </c>
      <c r="H28" s="16">
        <v>450000</v>
      </c>
      <c r="I28" s="16">
        <f>DataClean[Harga_Satuan]*0.6</f>
        <v>270000</v>
      </c>
      <c r="J28" s="16">
        <f>DataClean[Harga_Satuan]-DataClean[Modal]</f>
        <v>180000</v>
      </c>
      <c r="K28" s="16">
        <f>DataClean[[#This Row],[Qty]]*DataClean[[#This Row],[Harga_Satuan]]</f>
        <v>450000</v>
      </c>
      <c r="L28" s="16">
        <f>DataClean[Total_Penjualan]-DataClean[Modal]</f>
        <v>180000</v>
      </c>
      <c r="M28" t="s">
        <v>93</v>
      </c>
      <c r="N28" t="s">
        <v>15</v>
      </c>
      <c r="V28" t="s">
        <v>216</v>
      </c>
      <c r="W28" s="16">
        <f>SUMIF(DataClean[Nama_Toko],V28,DataClean[Total_Penjualan])</f>
        <v>392000</v>
      </c>
    </row>
    <row r="29" spans="1:23" x14ac:dyDescent="0.25">
      <c r="A29" s="2">
        <v>45841</v>
      </c>
      <c r="B29">
        <f>YEAR(DataClean[[#This Row],[Tanggal]])</f>
        <v>2025</v>
      </c>
      <c r="C29" t="s">
        <v>116</v>
      </c>
      <c r="D29" t="s">
        <v>117</v>
      </c>
      <c r="E29" t="s">
        <v>48</v>
      </c>
      <c r="F29" t="s">
        <v>118</v>
      </c>
      <c r="G29" s="11">
        <v>4</v>
      </c>
      <c r="H29" s="16">
        <v>60000</v>
      </c>
      <c r="I29" s="16">
        <f>DataClean[Harga_Satuan]*0.6</f>
        <v>36000</v>
      </c>
      <c r="J29" s="16">
        <f>DataClean[Harga_Satuan]-DataClean[Modal]</f>
        <v>24000</v>
      </c>
      <c r="K29" s="16">
        <f>DataClean[[#This Row],[Qty]]*DataClean[[#This Row],[Harga_Satuan]]</f>
        <v>240000</v>
      </c>
      <c r="L29" s="16">
        <f>DataClean[Total_Penjualan]-DataClean[Modal]</f>
        <v>204000</v>
      </c>
      <c r="M29" t="s">
        <v>45</v>
      </c>
      <c r="N29" t="s">
        <v>29</v>
      </c>
      <c r="V29" t="s">
        <v>220</v>
      </c>
      <c r="W29" s="16">
        <f>SUMIF(DataClean[Nama_Toko],V29,DataClean[Total_Penjualan])</f>
        <v>75000</v>
      </c>
    </row>
    <row r="30" spans="1:23" x14ac:dyDescent="0.25">
      <c r="A30" s="2">
        <v>45831</v>
      </c>
      <c r="B30">
        <f>YEAR(DataClean[[#This Row],[Tanggal]])</f>
        <v>2025</v>
      </c>
      <c r="C30" t="s">
        <v>120</v>
      </c>
      <c r="D30" t="s">
        <v>121</v>
      </c>
      <c r="E30" t="s">
        <v>12</v>
      </c>
      <c r="F30" t="s">
        <v>122</v>
      </c>
      <c r="G30" s="11">
        <v>5</v>
      </c>
      <c r="H30" s="16">
        <v>18000</v>
      </c>
      <c r="I30" s="16">
        <f>DataClean[Harga_Satuan]*0.6</f>
        <v>10800</v>
      </c>
      <c r="J30" s="16">
        <f>DataClean[Harga_Satuan]-DataClean[Modal]</f>
        <v>7200</v>
      </c>
      <c r="K30" s="16">
        <f>DataClean[[#This Row],[Qty]]*DataClean[[#This Row],[Harga_Satuan]]</f>
        <v>90000</v>
      </c>
      <c r="L30" s="16">
        <f>DataClean[Total_Penjualan]-DataClean[Modal]</f>
        <v>79200</v>
      </c>
      <c r="M30" t="s">
        <v>71</v>
      </c>
      <c r="N30" t="s">
        <v>15</v>
      </c>
      <c r="V30" t="s">
        <v>224</v>
      </c>
      <c r="W30" s="16">
        <f>SUMIF(DataClean[Nama_Toko],V30,DataClean[Total_Penjualan])</f>
        <v>60000</v>
      </c>
    </row>
    <row r="31" spans="1:23" x14ac:dyDescent="0.25">
      <c r="A31" s="2">
        <v>45020</v>
      </c>
      <c r="B31">
        <f>YEAR(DataClean[[#This Row],[Tanggal]])</f>
        <v>2023</v>
      </c>
      <c r="C31" t="s">
        <v>124</v>
      </c>
      <c r="D31" t="s">
        <v>125</v>
      </c>
      <c r="E31" t="s">
        <v>19</v>
      </c>
      <c r="F31" t="s">
        <v>126</v>
      </c>
      <c r="G31" s="11">
        <v>15</v>
      </c>
      <c r="H31" s="16">
        <v>10000</v>
      </c>
      <c r="I31" s="16">
        <f>DataClean[Harga_Satuan]*0.6</f>
        <v>6000</v>
      </c>
      <c r="J31" s="16">
        <f>DataClean[Harga_Satuan]-DataClean[Modal]</f>
        <v>4000</v>
      </c>
      <c r="K31" s="16">
        <f>DataClean[[#This Row],[Qty]]*DataClean[[#This Row],[Harga_Satuan]]</f>
        <v>150000</v>
      </c>
      <c r="L31" s="16">
        <f>DataClean[Total_Penjualan]-DataClean[Modal]</f>
        <v>144000</v>
      </c>
      <c r="M31" t="s">
        <v>67</v>
      </c>
      <c r="N31" t="s">
        <v>22</v>
      </c>
      <c r="V31" t="s">
        <v>228</v>
      </c>
      <c r="W31" s="16">
        <f>SUMIF(DataClean[Nama_Toko],V31,DataClean[Total_Penjualan])</f>
        <v>80000</v>
      </c>
    </row>
    <row r="32" spans="1:23" x14ac:dyDescent="0.25">
      <c r="A32" s="2">
        <v>45841</v>
      </c>
      <c r="B32">
        <f>YEAR(DataClean[[#This Row],[Tanggal]])</f>
        <v>2025</v>
      </c>
      <c r="C32" t="s">
        <v>128</v>
      </c>
      <c r="D32" t="s">
        <v>129</v>
      </c>
      <c r="E32" t="s">
        <v>26</v>
      </c>
      <c r="F32" t="s">
        <v>130</v>
      </c>
      <c r="G32" s="11">
        <v>2</v>
      </c>
      <c r="H32" s="16">
        <v>85000</v>
      </c>
      <c r="I32" s="16">
        <f>DataClean[Harga_Satuan]*0.6</f>
        <v>51000</v>
      </c>
      <c r="J32" s="16">
        <f>DataClean[Harga_Satuan]-DataClean[Modal]</f>
        <v>34000</v>
      </c>
      <c r="K32" s="16">
        <f>DataClean[[#This Row],[Qty]]*DataClean[[#This Row],[Harga_Satuan]]</f>
        <v>170000</v>
      </c>
      <c r="L32" s="16">
        <f>DataClean[Total_Penjualan]-DataClean[Modal]</f>
        <v>119000</v>
      </c>
      <c r="M32" t="s">
        <v>21</v>
      </c>
      <c r="N32" t="s">
        <v>29</v>
      </c>
      <c r="V32" t="s">
        <v>231</v>
      </c>
      <c r="W32" s="16">
        <f>SUMIF(DataClean[Nama_Toko],V32,DataClean[Total_Penjualan])</f>
        <v>80000</v>
      </c>
    </row>
    <row r="33" spans="1:23" x14ac:dyDescent="0.25">
      <c r="A33" s="2">
        <v>45478</v>
      </c>
      <c r="B33">
        <f>YEAR(DataClean[[#This Row],[Tanggal]])</f>
        <v>2024</v>
      </c>
      <c r="C33" t="s">
        <v>132</v>
      </c>
      <c r="D33" t="s">
        <v>133</v>
      </c>
      <c r="E33" t="s">
        <v>33</v>
      </c>
      <c r="F33" t="s">
        <v>134</v>
      </c>
      <c r="G33" s="11">
        <v>1</v>
      </c>
      <c r="H33" s="16">
        <v>300000</v>
      </c>
      <c r="I33" s="16">
        <f>DataClean[Harga_Satuan]*0.6</f>
        <v>180000</v>
      </c>
      <c r="J33" s="16">
        <f>DataClean[Harga_Satuan]-DataClean[Modal]</f>
        <v>120000</v>
      </c>
      <c r="K33" s="16">
        <f>DataClean[[#This Row],[Qty]]*DataClean[[#This Row],[Harga_Satuan]]</f>
        <v>300000</v>
      </c>
      <c r="L33" s="16">
        <f>DataClean[Total_Penjualan]-DataClean[Modal]</f>
        <v>120000</v>
      </c>
      <c r="M33" t="s">
        <v>53</v>
      </c>
      <c r="N33" t="s">
        <v>15</v>
      </c>
      <c r="V33" t="s">
        <v>235</v>
      </c>
      <c r="W33" s="16">
        <f>SUMIF(DataClean[Nama_Toko],V33,DataClean[Total_Penjualan])</f>
        <v>150000</v>
      </c>
    </row>
    <row r="34" spans="1:23" x14ac:dyDescent="0.25">
      <c r="A34" s="2">
        <v>45236</v>
      </c>
      <c r="B34">
        <f>YEAR(DataClean[[#This Row],[Tanggal]])</f>
        <v>2023</v>
      </c>
      <c r="C34" t="s">
        <v>136</v>
      </c>
      <c r="D34" t="s">
        <v>137</v>
      </c>
      <c r="E34" t="s">
        <v>12</v>
      </c>
      <c r="F34" t="s">
        <v>138</v>
      </c>
      <c r="G34" s="11">
        <v>3</v>
      </c>
      <c r="H34" s="16">
        <v>35000</v>
      </c>
      <c r="I34" s="16">
        <f>DataClean[Harga_Satuan]*0.6</f>
        <v>21000</v>
      </c>
      <c r="J34" s="16">
        <f>DataClean[Harga_Satuan]-DataClean[Modal]</f>
        <v>14000</v>
      </c>
      <c r="K34" s="16">
        <f>DataClean[[#This Row],[Qty]]*DataClean[[#This Row],[Harga_Satuan]]</f>
        <v>105000</v>
      </c>
      <c r="L34" s="16">
        <f>DataClean[Total_Penjualan]-DataClean[Modal]</f>
        <v>84000</v>
      </c>
      <c r="M34" t="s">
        <v>28</v>
      </c>
      <c r="N34" t="s">
        <v>22</v>
      </c>
      <c r="V34" t="s">
        <v>239</v>
      </c>
      <c r="W34" s="16">
        <f>SUMIF(DataClean[Nama_Toko],V34,DataClean[Total_Penjualan])</f>
        <v>159000</v>
      </c>
    </row>
    <row r="35" spans="1:23" x14ac:dyDescent="0.25">
      <c r="A35" s="2">
        <v>46016</v>
      </c>
      <c r="B35">
        <f>YEAR(DataClean[[#This Row],[Tanggal]])</f>
        <v>2025</v>
      </c>
      <c r="C35" t="s">
        <v>140</v>
      </c>
      <c r="D35" t="s">
        <v>141</v>
      </c>
      <c r="E35" t="s">
        <v>43</v>
      </c>
      <c r="F35" t="s">
        <v>142</v>
      </c>
      <c r="G35" s="11">
        <v>6</v>
      </c>
      <c r="H35" s="16">
        <v>70000</v>
      </c>
      <c r="I35" s="16">
        <f>DataClean[Harga_Satuan]*0.6</f>
        <v>42000</v>
      </c>
      <c r="J35" s="16">
        <f>DataClean[Harga_Satuan]-DataClean[Modal]</f>
        <v>28000</v>
      </c>
      <c r="K35" s="16">
        <f>DataClean[[#This Row],[Qty]]*DataClean[[#This Row],[Harga_Satuan]]</f>
        <v>420000</v>
      </c>
      <c r="L35" s="16">
        <f>DataClean[Total_Penjualan]-DataClean[Modal]</f>
        <v>378000</v>
      </c>
      <c r="M35" t="s">
        <v>59</v>
      </c>
      <c r="N35" t="s">
        <v>15</v>
      </c>
      <c r="V35" t="s">
        <v>243</v>
      </c>
      <c r="W35" s="16">
        <f>SUMIF(DataClean[Nama_Toko],V35,DataClean[Total_Penjualan])</f>
        <v>341000</v>
      </c>
    </row>
    <row r="36" spans="1:23" x14ac:dyDescent="0.25">
      <c r="A36" s="2">
        <v>45142</v>
      </c>
      <c r="B36">
        <f>YEAR(DataClean[[#This Row],[Tanggal]])</f>
        <v>2023</v>
      </c>
      <c r="C36" t="s">
        <v>144</v>
      </c>
      <c r="D36" t="s">
        <v>145</v>
      </c>
      <c r="E36" t="s">
        <v>48</v>
      </c>
      <c r="F36" t="s">
        <v>146</v>
      </c>
      <c r="G36" s="11">
        <v>1</v>
      </c>
      <c r="H36" s="16">
        <v>180000</v>
      </c>
      <c r="I36" s="16">
        <f>DataClean[Harga_Satuan]*0.6</f>
        <v>108000</v>
      </c>
      <c r="J36" s="16">
        <f>DataClean[Harga_Satuan]-DataClean[Modal]</f>
        <v>72000</v>
      </c>
      <c r="K36" s="16">
        <f>DataClean[[#This Row],[Qty]]*DataClean[[#This Row],[Harga_Satuan]]</f>
        <v>180000</v>
      </c>
      <c r="L36" s="16">
        <f>DataClean[Total_Penjualan]-DataClean[Modal]</f>
        <v>72000</v>
      </c>
      <c r="M36" t="s">
        <v>14</v>
      </c>
      <c r="N36" t="s">
        <v>29</v>
      </c>
      <c r="V36" t="s">
        <v>247</v>
      </c>
      <c r="W36" s="16">
        <f>SUMIF(DataClean[Nama_Toko],V36,DataClean[Total_Penjualan])</f>
        <v>60000</v>
      </c>
    </row>
    <row r="37" spans="1:23" x14ac:dyDescent="0.25">
      <c r="A37" s="2">
        <v>45930</v>
      </c>
      <c r="B37">
        <f>YEAR(DataClean[[#This Row],[Tanggal]])</f>
        <v>2025</v>
      </c>
      <c r="C37" t="s">
        <v>147</v>
      </c>
      <c r="D37" t="s">
        <v>148</v>
      </c>
      <c r="E37" t="s">
        <v>12</v>
      </c>
      <c r="F37" t="s">
        <v>149</v>
      </c>
      <c r="G37" s="11">
        <v>10</v>
      </c>
      <c r="H37" s="16">
        <v>25000</v>
      </c>
      <c r="I37" s="16">
        <f>DataClean[Harga_Satuan]*0.6</f>
        <v>15000</v>
      </c>
      <c r="J37" s="16">
        <f>DataClean[Harga_Satuan]-DataClean[Modal]</f>
        <v>10000</v>
      </c>
      <c r="K37" s="16">
        <f>DataClean[[#This Row],[Qty]]*DataClean[[#This Row],[Harga_Satuan]]</f>
        <v>250000</v>
      </c>
      <c r="L37" s="16">
        <f>DataClean[Total_Penjualan]-DataClean[Modal]</f>
        <v>235000</v>
      </c>
      <c r="M37" t="s">
        <v>45</v>
      </c>
      <c r="N37" t="s">
        <v>15</v>
      </c>
      <c r="V37" t="s">
        <v>251</v>
      </c>
      <c r="W37" s="16">
        <f>SUMIF(DataClean[Nama_Toko],V37,DataClean[Total_Penjualan])</f>
        <v>183000</v>
      </c>
    </row>
    <row r="38" spans="1:23" x14ac:dyDescent="0.25">
      <c r="A38" s="2">
        <v>45024</v>
      </c>
      <c r="B38">
        <f>YEAR(DataClean[[#This Row],[Tanggal]])</f>
        <v>2023</v>
      </c>
      <c r="C38" t="s">
        <v>151</v>
      </c>
      <c r="D38" t="s">
        <v>150</v>
      </c>
      <c r="E38" t="s">
        <v>19</v>
      </c>
      <c r="F38" t="s">
        <v>152</v>
      </c>
      <c r="G38" s="11">
        <v>20</v>
      </c>
      <c r="H38" s="16">
        <v>8000</v>
      </c>
      <c r="I38" s="16">
        <f>DataClean[Harga_Satuan]*0.6</f>
        <v>4800</v>
      </c>
      <c r="J38" s="16">
        <f>DataClean[Harga_Satuan]-DataClean[Modal]</f>
        <v>3200</v>
      </c>
      <c r="K38" s="16">
        <f>DataClean[[#This Row],[Qty]]*DataClean[[#This Row],[Harga_Satuan]]</f>
        <v>160000</v>
      </c>
      <c r="L38" s="16">
        <f>DataClean[Total_Penjualan]-DataClean[Modal]</f>
        <v>155200</v>
      </c>
      <c r="M38" t="s">
        <v>71</v>
      </c>
      <c r="N38" t="s">
        <v>22</v>
      </c>
      <c r="V38" t="s">
        <v>255</v>
      </c>
      <c r="W38" s="16">
        <f>SUMIF(DataClean[Nama_Toko],V38,DataClean[Total_Penjualan])</f>
        <v>360000</v>
      </c>
    </row>
    <row r="39" spans="1:23" x14ac:dyDescent="0.25">
      <c r="A39" s="2">
        <v>45622</v>
      </c>
      <c r="B39">
        <f>YEAR(DataClean[[#This Row],[Tanggal]])</f>
        <v>2024</v>
      </c>
      <c r="C39" t="s">
        <v>154</v>
      </c>
      <c r="D39" t="s">
        <v>155</v>
      </c>
      <c r="E39" t="s">
        <v>26</v>
      </c>
      <c r="F39" t="s">
        <v>156</v>
      </c>
      <c r="G39" s="11">
        <v>4</v>
      </c>
      <c r="H39" s="16">
        <v>50000</v>
      </c>
      <c r="I39" s="16">
        <f>DataClean[Harga_Satuan]*0.6</f>
        <v>30000</v>
      </c>
      <c r="J39" s="16">
        <f>DataClean[Harga_Satuan]-DataClean[Modal]</f>
        <v>20000</v>
      </c>
      <c r="K39" s="16">
        <f>DataClean[[#This Row],[Qty]]*DataClean[[#This Row],[Harga_Satuan]]</f>
        <v>200000</v>
      </c>
      <c r="L39" s="16">
        <f>DataClean[Total_Penjualan]-DataClean[Modal]</f>
        <v>170000</v>
      </c>
      <c r="M39" t="s">
        <v>67</v>
      </c>
      <c r="N39" t="s">
        <v>29</v>
      </c>
      <c r="V39" t="s">
        <v>159</v>
      </c>
      <c r="W39" s="16">
        <f>SUMIF(DataClean[Nama_Toko],V39,DataClean[Total_Penjualan])</f>
        <v>243000</v>
      </c>
    </row>
    <row r="40" spans="1:23" x14ac:dyDescent="0.25">
      <c r="A40" s="2">
        <v>45782</v>
      </c>
      <c r="B40">
        <f>YEAR(DataClean[[#This Row],[Tanggal]])</f>
        <v>2025</v>
      </c>
      <c r="C40" t="s">
        <v>158</v>
      </c>
      <c r="D40" t="s">
        <v>159</v>
      </c>
      <c r="E40" t="s">
        <v>33</v>
      </c>
      <c r="F40" t="s">
        <v>160</v>
      </c>
      <c r="G40" s="11">
        <v>5</v>
      </c>
      <c r="H40" s="16">
        <v>15000</v>
      </c>
      <c r="I40" s="16">
        <f>DataClean[Harga_Satuan]*0.6</f>
        <v>9000</v>
      </c>
      <c r="J40" s="16">
        <f>DataClean[Harga_Satuan]-DataClean[Modal]</f>
        <v>6000</v>
      </c>
      <c r="K40" s="16">
        <f>DataClean[[#This Row],[Qty]]*DataClean[[#This Row],[Harga_Satuan]]</f>
        <v>75000</v>
      </c>
      <c r="L40" s="16">
        <f>DataClean[Total_Penjualan]-DataClean[Modal]</f>
        <v>66000</v>
      </c>
      <c r="M40" t="s">
        <v>21</v>
      </c>
      <c r="N40" t="s">
        <v>15</v>
      </c>
      <c r="V40" t="s">
        <v>261</v>
      </c>
      <c r="W40" s="16">
        <f>SUMIF(DataClean[Nama_Toko],V40,DataClean[Total_Penjualan])</f>
        <v>240000</v>
      </c>
    </row>
    <row r="41" spans="1:23" x14ac:dyDescent="0.25">
      <c r="A41" s="2">
        <v>45056</v>
      </c>
      <c r="B41">
        <f>YEAR(DataClean[[#This Row],[Tanggal]])</f>
        <v>2023</v>
      </c>
      <c r="C41" t="s">
        <v>162</v>
      </c>
      <c r="D41" t="s">
        <v>163</v>
      </c>
      <c r="E41" t="s">
        <v>12</v>
      </c>
      <c r="F41" t="s">
        <v>164</v>
      </c>
      <c r="G41" s="11">
        <v>15</v>
      </c>
      <c r="H41" s="16">
        <v>7000</v>
      </c>
      <c r="I41" s="16">
        <f>DataClean[Harga_Satuan]*0.6</f>
        <v>4200</v>
      </c>
      <c r="J41" s="16">
        <f>DataClean[Harga_Satuan]-DataClean[Modal]</f>
        <v>2800</v>
      </c>
      <c r="K41" s="16">
        <f>DataClean[[#This Row],[Qty]]*DataClean[[#This Row],[Harga_Satuan]]</f>
        <v>105000</v>
      </c>
      <c r="L41" s="16">
        <f>DataClean[Total_Penjualan]-DataClean[Modal]</f>
        <v>100800</v>
      </c>
      <c r="M41" t="s">
        <v>53</v>
      </c>
      <c r="N41" t="s">
        <v>22</v>
      </c>
      <c r="V41" t="s">
        <v>265</v>
      </c>
      <c r="W41" s="16">
        <f>SUMIF(DataClean[Nama_Toko],V41,DataClean[Total_Penjualan])</f>
        <v>100000</v>
      </c>
    </row>
    <row r="42" spans="1:23" x14ac:dyDescent="0.25">
      <c r="A42" s="2">
        <v>45314</v>
      </c>
      <c r="B42">
        <f>YEAR(DataClean[[#This Row],[Tanggal]])</f>
        <v>2024</v>
      </c>
      <c r="C42" t="s">
        <v>165</v>
      </c>
      <c r="D42" t="s">
        <v>166</v>
      </c>
      <c r="E42" t="s">
        <v>43</v>
      </c>
      <c r="F42" t="s">
        <v>167</v>
      </c>
      <c r="G42" s="11">
        <v>8</v>
      </c>
      <c r="H42" s="16">
        <v>25000</v>
      </c>
      <c r="I42" s="16">
        <f>DataClean[Harga_Satuan]*0.6</f>
        <v>15000</v>
      </c>
      <c r="J42" s="16">
        <f>DataClean[Harga_Satuan]-DataClean[Modal]</f>
        <v>10000</v>
      </c>
      <c r="K42" s="16">
        <f>DataClean[[#This Row],[Qty]]*DataClean[[#This Row],[Harga_Satuan]]</f>
        <v>200000</v>
      </c>
      <c r="L42" s="16">
        <f>DataClean[Total_Penjualan]-DataClean[Modal]</f>
        <v>185000</v>
      </c>
      <c r="M42" t="s">
        <v>28</v>
      </c>
      <c r="N42" t="s">
        <v>15</v>
      </c>
      <c r="V42" t="s">
        <v>86</v>
      </c>
      <c r="W42" s="16">
        <f>SUMIF(DataClean[Nama_Toko],V42,DataClean[Total_Penjualan])</f>
        <v>415000</v>
      </c>
    </row>
    <row r="43" spans="1:23" x14ac:dyDescent="0.25">
      <c r="A43" s="2">
        <v>45653</v>
      </c>
      <c r="B43">
        <f>YEAR(DataClean[[#This Row],[Tanggal]])</f>
        <v>2024</v>
      </c>
      <c r="C43" t="s">
        <v>169</v>
      </c>
      <c r="D43" t="s">
        <v>170</v>
      </c>
      <c r="E43" t="s">
        <v>48</v>
      </c>
      <c r="F43" t="s">
        <v>171</v>
      </c>
      <c r="G43" s="11">
        <v>12</v>
      </c>
      <c r="H43" s="16">
        <v>5000</v>
      </c>
      <c r="I43" s="16">
        <f>DataClean[Harga_Satuan]*0.6</f>
        <v>3000</v>
      </c>
      <c r="J43" s="16">
        <f>DataClean[Harga_Satuan]-DataClean[Modal]</f>
        <v>2000</v>
      </c>
      <c r="K43" s="16">
        <f>DataClean[[#This Row],[Qty]]*DataClean[[#This Row],[Harga_Satuan]]</f>
        <v>60000</v>
      </c>
      <c r="L43" s="16">
        <f>DataClean[Total_Penjualan]-DataClean[Modal]</f>
        <v>57000</v>
      </c>
      <c r="M43" t="s">
        <v>39</v>
      </c>
      <c r="N43" t="s">
        <v>29</v>
      </c>
      <c r="V43" t="s">
        <v>272</v>
      </c>
      <c r="W43" s="16">
        <f>SUMIF(DataClean[Nama_Toko],V43,DataClean[Total_Penjualan])</f>
        <v>150000</v>
      </c>
    </row>
    <row r="44" spans="1:23" x14ac:dyDescent="0.25">
      <c r="A44" s="2">
        <v>45903</v>
      </c>
      <c r="B44">
        <f>YEAR(DataClean[[#This Row],[Tanggal]])</f>
        <v>2025</v>
      </c>
      <c r="C44" t="s">
        <v>173</v>
      </c>
      <c r="D44" t="s">
        <v>174</v>
      </c>
      <c r="E44" t="s">
        <v>12</v>
      </c>
      <c r="F44" t="s">
        <v>175</v>
      </c>
      <c r="G44" s="11">
        <v>2</v>
      </c>
      <c r="H44" s="16">
        <v>17000</v>
      </c>
      <c r="I44" s="16">
        <f>DataClean[Harga_Satuan]*0.6</f>
        <v>10200</v>
      </c>
      <c r="J44" s="16">
        <f>DataClean[Harga_Satuan]-DataClean[Modal]</f>
        <v>6800</v>
      </c>
      <c r="K44" s="16">
        <f>DataClean[[#This Row],[Qty]]*DataClean[[#This Row],[Harga_Satuan]]</f>
        <v>34000</v>
      </c>
      <c r="L44" s="16">
        <f>DataClean[Total_Penjualan]-DataClean[Modal]</f>
        <v>23800</v>
      </c>
      <c r="M44" t="s">
        <v>93</v>
      </c>
      <c r="N44" t="s">
        <v>15</v>
      </c>
      <c r="V44" t="s">
        <v>210</v>
      </c>
      <c r="W44" s="16">
        <f>SUMIF(DataClean[Nama_Toko],V44,DataClean[Total_Penjualan])</f>
        <v>300000</v>
      </c>
    </row>
    <row r="45" spans="1:23" x14ac:dyDescent="0.25">
      <c r="A45" s="2">
        <v>45840</v>
      </c>
      <c r="B45">
        <f>YEAR(DataClean[[#This Row],[Tanggal]])</f>
        <v>2025</v>
      </c>
      <c r="C45" t="s">
        <v>177</v>
      </c>
      <c r="D45" t="s">
        <v>178</v>
      </c>
      <c r="E45" t="s">
        <v>19</v>
      </c>
      <c r="F45" t="s">
        <v>179</v>
      </c>
      <c r="G45" s="11">
        <v>18</v>
      </c>
      <c r="H45" s="16">
        <v>6000</v>
      </c>
      <c r="I45" s="16">
        <f>DataClean[Harga_Satuan]*0.6</f>
        <v>3600</v>
      </c>
      <c r="J45" s="16">
        <f>DataClean[Harga_Satuan]-DataClean[Modal]</f>
        <v>2400</v>
      </c>
      <c r="K45" s="16">
        <f>DataClean[[#This Row],[Qty]]*DataClean[[#This Row],[Harga_Satuan]]</f>
        <v>108000</v>
      </c>
      <c r="L45" s="16">
        <f>DataClean[Total_Penjualan]-DataClean[Modal]</f>
        <v>104400</v>
      </c>
      <c r="M45" t="s">
        <v>45</v>
      </c>
      <c r="N45" t="s">
        <v>22</v>
      </c>
      <c r="V45" t="s">
        <v>107</v>
      </c>
      <c r="W45" s="16">
        <f>SUMIF(DataClean[Nama_Toko],V45,DataClean[Total_Penjualan])</f>
        <v>775000</v>
      </c>
    </row>
    <row r="46" spans="1:23" x14ac:dyDescent="0.25">
      <c r="A46" s="2">
        <v>45425</v>
      </c>
      <c r="B46">
        <f>YEAR(DataClean[[#This Row],[Tanggal]])</f>
        <v>2024</v>
      </c>
      <c r="C46" t="s">
        <v>181</v>
      </c>
      <c r="D46" t="s">
        <v>182</v>
      </c>
      <c r="E46" t="s">
        <v>26</v>
      </c>
      <c r="F46" t="s">
        <v>183</v>
      </c>
      <c r="G46" s="11">
        <v>1</v>
      </c>
      <c r="H46" s="16">
        <v>65000</v>
      </c>
      <c r="I46" s="16">
        <f>DataClean[Harga_Satuan]*0.6</f>
        <v>39000</v>
      </c>
      <c r="J46" s="16">
        <f>DataClean[Harga_Satuan]-DataClean[Modal]</f>
        <v>26000</v>
      </c>
      <c r="K46" s="16">
        <f>DataClean[[#This Row],[Qty]]*DataClean[[#This Row],[Harga_Satuan]]</f>
        <v>65000</v>
      </c>
      <c r="L46" s="16">
        <f>DataClean[Total_Penjualan]-DataClean[Modal]</f>
        <v>26000</v>
      </c>
      <c r="M46" t="s">
        <v>71</v>
      </c>
      <c r="N46" t="s">
        <v>29</v>
      </c>
      <c r="V46" t="s">
        <v>281</v>
      </c>
      <c r="W46" s="16">
        <f>SUMIF(DataClean[Nama_Toko],V46,DataClean[Total_Penjualan])</f>
        <v>130000</v>
      </c>
    </row>
    <row r="47" spans="1:23" x14ac:dyDescent="0.25">
      <c r="A47" s="2">
        <v>45797</v>
      </c>
      <c r="B47">
        <f>YEAR(DataClean[[#This Row],[Tanggal]])</f>
        <v>2025</v>
      </c>
      <c r="C47" t="s">
        <v>185</v>
      </c>
      <c r="D47" t="s">
        <v>86</v>
      </c>
      <c r="E47" t="s">
        <v>33</v>
      </c>
      <c r="F47" t="s">
        <v>186</v>
      </c>
      <c r="G47" s="11">
        <v>2</v>
      </c>
      <c r="H47" s="16">
        <v>45000</v>
      </c>
      <c r="I47" s="16">
        <f>DataClean[Harga_Satuan]*0.6</f>
        <v>27000</v>
      </c>
      <c r="J47" s="16">
        <f>DataClean[Harga_Satuan]-DataClean[Modal]</f>
        <v>18000</v>
      </c>
      <c r="K47" s="16">
        <f>DataClean[[#This Row],[Qty]]*DataClean[[#This Row],[Harga_Satuan]]</f>
        <v>90000</v>
      </c>
      <c r="L47" s="16">
        <f>DataClean[Total_Penjualan]-DataClean[Modal]</f>
        <v>63000</v>
      </c>
      <c r="M47" t="s">
        <v>67</v>
      </c>
      <c r="N47" t="s">
        <v>15</v>
      </c>
      <c r="V47" t="s">
        <v>285</v>
      </c>
      <c r="W47" s="16">
        <f>SUMIF(DataClean[Nama_Toko],V47,DataClean[Total_Penjualan])</f>
        <v>120000</v>
      </c>
    </row>
    <row r="48" spans="1:23" x14ac:dyDescent="0.25">
      <c r="A48" s="2">
        <v>45875</v>
      </c>
      <c r="B48">
        <f>YEAR(DataClean[[#This Row],[Tanggal]])</f>
        <v>2025</v>
      </c>
      <c r="C48" t="s">
        <v>187</v>
      </c>
      <c r="D48" t="s">
        <v>188</v>
      </c>
      <c r="E48" t="s">
        <v>12</v>
      </c>
      <c r="F48" t="s">
        <v>189</v>
      </c>
      <c r="G48" s="11">
        <v>7</v>
      </c>
      <c r="H48" s="16">
        <v>14000</v>
      </c>
      <c r="I48" s="16">
        <f>DataClean[Harga_Satuan]*0.6</f>
        <v>8400</v>
      </c>
      <c r="J48" s="16">
        <f>DataClean[Harga_Satuan]-DataClean[Modal]</f>
        <v>5600</v>
      </c>
      <c r="K48" s="16">
        <f>DataClean[[#This Row],[Qty]]*DataClean[[#This Row],[Harga_Satuan]]</f>
        <v>98000</v>
      </c>
      <c r="L48" s="16">
        <f>DataClean[Total_Penjualan]-DataClean[Modal]</f>
        <v>89600</v>
      </c>
      <c r="M48" t="s">
        <v>21</v>
      </c>
      <c r="N48" t="s">
        <v>22</v>
      </c>
      <c r="V48" t="s">
        <v>288</v>
      </c>
      <c r="W48" s="16">
        <f>SUMIF(DataClean[Nama_Toko],V48,DataClean[Total_Penjualan])</f>
        <v>76000</v>
      </c>
    </row>
    <row r="49" spans="1:23" x14ac:dyDescent="0.25">
      <c r="A49" s="2">
        <v>45797</v>
      </c>
      <c r="B49">
        <f>YEAR(DataClean[[#This Row],[Tanggal]])</f>
        <v>2025</v>
      </c>
      <c r="C49" t="s">
        <v>191</v>
      </c>
      <c r="D49" t="s">
        <v>192</v>
      </c>
      <c r="E49" t="s">
        <v>43</v>
      </c>
      <c r="F49" t="s">
        <v>193</v>
      </c>
      <c r="G49" s="11">
        <v>3</v>
      </c>
      <c r="H49" s="16">
        <v>110000</v>
      </c>
      <c r="I49" s="16">
        <f>DataClean[Harga_Satuan]*0.6</f>
        <v>66000</v>
      </c>
      <c r="J49" s="16">
        <f>DataClean[Harga_Satuan]-DataClean[Modal]</f>
        <v>44000</v>
      </c>
      <c r="K49" s="16">
        <f>DataClean[[#This Row],[Qty]]*DataClean[[#This Row],[Harga_Satuan]]</f>
        <v>330000</v>
      </c>
      <c r="L49" s="16">
        <f>DataClean[Total_Penjualan]-DataClean[Modal]</f>
        <v>264000</v>
      </c>
      <c r="M49" t="s">
        <v>53</v>
      </c>
      <c r="N49" t="s">
        <v>15</v>
      </c>
      <c r="V49" t="s">
        <v>133</v>
      </c>
      <c r="W49" s="16">
        <f>SUMIF(DataClean[Nama_Toko],V49,DataClean[Total_Penjualan])</f>
        <v>300000</v>
      </c>
    </row>
    <row r="50" spans="1:23" x14ac:dyDescent="0.25">
      <c r="A50" s="2">
        <v>45093</v>
      </c>
      <c r="B50">
        <f>YEAR(DataClean[[#This Row],[Tanggal]])</f>
        <v>2023</v>
      </c>
      <c r="C50" t="s">
        <v>195</v>
      </c>
      <c r="D50" t="s">
        <v>196</v>
      </c>
      <c r="E50" t="s">
        <v>48</v>
      </c>
      <c r="F50" t="s">
        <v>197</v>
      </c>
      <c r="G50" s="11">
        <v>4</v>
      </c>
      <c r="H50" s="16">
        <v>35000</v>
      </c>
      <c r="I50" s="16">
        <f>DataClean[Harga_Satuan]*0.6</f>
        <v>21000</v>
      </c>
      <c r="J50" s="16">
        <f>DataClean[Harga_Satuan]-DataClean[Modal]</f>
        <v>14000</v>
      </c>
      <c r="K50" s="16">
        <f>DataClean[[#This Row],[Qty]]*DataClean[[#This Row],[Harga_Satuan]]</f>
        <v>140000</v>
      </c>
      <c r="L50" s="16">
        <f>DataClean[Total_Penjualan]-DataClean[Modal]</f>
        <v>119000</v>
      </c>
      <c r="M50" t="s">
        <v>28</v>
      </c>
      <c r="N50" t="s">
        <v>29</v>
      </c>
      <c r="V50" t="s">
        <v>295</v>
      </c>
      <c r="W50" s="16">
        <f>SUMIF(DataClean[Nama_Toko],V50,DataClean[Total_Penjualan])</f>
        <v>220000</v>
      </c>
    </row>
    <row r="51" spans="1:23" x14ac:dyDescent="0.25">
      <c r="A51" s="2">
        <v>45088</v>
      </c>
      <c r="B51">
        <f>YEAR(DataClean[[#This Row],[Tanggal]])</f>
        <v>2023</v>
      </c>
      <c r="C51" t="s">
        <v>199</v>
      </c>
      <c r="D51" t="s">
        <v>200</v>
      </c>
      <c r="E51" t="s">
        <v>12</v>
      </c>
      <c r="F51" t="s">
        <v>201</v>
      </c>
      <c r="G51" s="11">
        <v>6</v>
      </c>
      <c r="H51" s="16">
        <v>22000</v>
      </c>
      <c r="I51" s="16">
        <f>DataClean[Harga_Satuan]*0.6</f>
        <v>13200</v>
      </c>
      <c r="J51" s="16">
        <f>DataClean[Harga_Satuan]-DataClean[Modal]</f>
        <v>8800</v>
      </c>
      <c r="K51" s="16">
        <f>DataClean[[#This Row],[Qty]]*DataClean[[#This Row],[Harga_Satuan]]</f>
        <v>132000</v>
      </c>
      <c r="L51" s="16">
        <f>DataClean[Total_Penjualan]-DataClean[Modal]</f>
        <v>118800</v>
      </c>
      <c r="M51" t="s">
        <v>59</v>
      </c>
      <c r="N51" t="s">
        <v>15</v>
      </c>
      <c r="V51" t="s">
        <v>299</v>
      </c>
      <c r="W51" s="16">
        <f>SUMIF(DataClean[Nama_Toko],V51,DataClean[Total_Penjualan])</f>
        <v>275000</v>
      </c>
    </row>
    <row r="52" spans="1:23" x14ac:dyDescent="0.25">
      <c r="A52" s="2">
        <v>45785</v>
      </c>
      <c r="B52">
        <f>YEAR(DataClean[[#This Row],[Tanggal]])</f>
        <v>2025</v>
      </c>
      <c r="C52" t="s">
        <v>203</v>
      </c>
      <c r="D52" t="s">
        <v>157</v>
      </c>
      <c r="E52" t="s">
        <v>19</v>
      </c>
      <c r="F52" t="s">
        <v>204</v>
      </c>
      <c r="G52" s="11">
        <v>10</v>
      </c>
      <c r="H52" s="16">
        <v>12000</v>
      </c>
      <c r="I52" s="16">
        <f>DataClean[Harga_Satuan]*0.6</f>
        <v>7200</v>
      </c>
      <c r="J52" s="16">
        <f>DataClean[Harga_Satuan]-DataClean[Modal]</f>
        <v>4800</v>
      </c>
      <c r="K52" s="16">
        <f>DataClean[[#This Row],[Qty]]*DataClean[[#This Row],[Harga_Satuan]]</f>
        <v>120000</v>
      </c>
      <c r="L52" s="16">
        <f>DataClean[Total_Penjualan]-DataClean[Modal]</f>
        <v>112800</v>
      </c>
      <c r="M52" t="s">
        <v>14</v>
      </c>
      <c r="N52" t="s">
        <v>22</v>
      </c>
      <c r="V52" t="s">
        <v>303</v>
      </c>
      <c r="W52" s="16">
        <f>SUMIF(DataClean[Nama_Toko],V52,DataClean[Total_Penjualan])</f>
        <v>150000</v>
      </c>
    </row>
    <row r="53" spans="1:23" x14ac:dyDescent="0.25">
      <c r="A53" s="2">
        <v>44965</v>
      </c>
      <c r="B53">
        <f>YEAR(DataClean[[#This Row],[Tanggal]])</f>
        <v>2023</v>
      </c>
      <c r="C53" t="s">
        <v>205</v>
      </c>
      <c r="D53" t="s">
        <v>206</v>
      </c>
      <c r="E53" t="s">
        <v>26</v>
      </c>
      <c r="F53" t="s">
        <v>207</v>
      </c>
      <c r="G53" s="11">
        <v>1</v>
      </c>
      <c r="H53" s="16">
        <v>40000</v>
      </c>
      <c r="I53" s="16">
        <f>DataClean[Harga_Satuan]*0.6</f>
        <v>24000</v>
      </c>
      <c r="J53" s="16">
        <f>DataClean[Harga_Satuan]-DataClean[Modal]</f>
        <v>16000</v>
      </c>
      <c r="K53" s="16">
        <f>DataClean[[#This Row],[Qty]]*DataClean[[#This Row],[Harga_Satuan]]</f>
        <v>40000</v>
      </c>
      <c r="L53" s="16">
        <f>DataClean[Total_Penjualan]-DataClean[Modal]</f>
        <v>16000</v>
      </c>
      <c r="M53" t="s">
        <v>45</v>
      </c>
      <c r="N53" t="s">
        <v>29</v>
      </c>
      <c r="V53" t="s">
        <v>306</v>
      </c>
      <c r="W53" s="16">
        <f>SUMIF(DataClean[Nama_Toko],V53,DataClean[Total_Penjualan])</f>
        <v>180000</v>
      </c>
    </row>
    <row r="54" spans="1:23" x14ac:dyDescent="0.25">
      <c r="A54" s="2">
        <v>45837</v>
      </c>
      <c r="B54">
        <f>YEAR(DataClean[[#This Row],[Tanggal]])</f>
        <v>2025</v>
      </c>
      <c r="C54" t="s">
        <v>209</v>
      </c>
      <c r="D54" t="s">
        <v>210</v>
      </c>
      <c r="E54" t="s">
        <v>33</v>
      </c>
      <c r="F54" t="s">
        <v>211</v>
      </c>
      <c r="G54" s="11">
        <v>1</v>
      </c>
      <c r="H54" s="16">
        <v>150000</v>
      </c>
      <c r="I54" s="16">
        <f>DataClean[Harga_Satuan]*0.6</f>
        <v>90000</v>
      </c>
      <c r="J54" s="16">
        <f>DataClean[Harga_Satuan]-DataClean[Modal]</f>
        <v>60000</v>
      </c>
      <c r="K54" s="16">
        <f>DataClean[[#This Row],[Qty]]*DataClean[[#This Row],[Harga_Satuan]]</f>
        <v>150000</v>
      </c>
      <c r="L54" s="16">
        <f>DataClean[Total_Penjualan]-DataClean[Modal]</f>
        <v>60000</v>
      </c>
      <c r="M54" t="s">
        <v>71</v>
      </c>
      <c r="N54" t="s">
        <v>15</v>
      </c>
      <c r="V54" t="s">
        <v>310</v>
      </c>
      <c r="W54" s="16">
        <f>SUMIF(DataClean[Nama_Toko],V54,DataClean[Total_Penjualan])</f>
        <v>150000</v>
      </c>
    </row>
    <row r="55" spans="1:23" x14ac:dyDescent="0.25">
      <c r="A55" s="2">
        <v>45172</v>
      </c>
      <c r="B55">
        <f>YEAR(DataClean[[#This Row],[Tanggal]])</f>
        <v>2023</v>
      </c>
      <c r="C55" t="s">
        <v>213</v>
      </c>
      <c r="D55" t="s">
        <v>214</v>
      </c>
      <c r="E55" t="s">
        <v>12</v>
      </c>
      <c r="F55" t="s">
        <v>215</v>
      </c>
      <c r="G55" s="11">
        <v>25</v>
      </c>
      <c r="H55" s="16">
        <v>3000</v>
      </c>
      <c r="I55" s="16">
        <f>DataClean[Harga_Satuan]*0.6</f>
        <v>1800</v>
      </c>
      <c r="J55" s="16">
        <f>DataClean[Harga_Satuan]-DataClean[Modal]</f>
        <v>1200</v>
      </c>
      <c r="K55" s="16">
        <f>DataClean[[#This Row],[Qty]]*DataClean[[#This Row],[Harga_Satuan]]</f>
        <v>75000</v>
      </c>
      <c r="L55" s="16">
        <f>DataClean[Total_Penjualan]-DataClean[Modal]</f>
        <v>73200</v>
      </c>
      <c r="M55" t="s">
        <v>67</v>
      </c>
      <c r="N55" t="s">
        <v>22</v>
      </c>
      <c r="V55" t="s">
        <v>314</v>
      </c>
      <c r="W55" s="16">
        <f>SUMIF(DataClean[Nama_Toko],V55,DataClean[Total_Penjualan])</f>
        <v>180000</v>
      </c>
    </row>
    <row r="56" spans="1:23" x14ac:dyDescent="0.25">
      <c r="A56" s="2">
        <v>45409</v>
      </c>
      <c r="B56">
        <f>YEAR(DataClean[[#This Row],[Tanggal]])</f>
        <v>2024</v>
      </c>
      <c r="C56" t="s">
        <v>217</v>
      </c>
      <c r="D56" t="s">
        <v>218</v>
      </c>
      <c r="E56" t="s">
        <v>43</v>
      </c>
      <c r="F56" t="s">
        <v>219</v>
      </c>
      <c r="G56" s="11">
        <v>15</v>
      </c>
      <c r="H56" s="16">
        <v>35000</v>
      </c>
      <c r="I56" s="16">
        <f>DataClean[Harga_Satuan]*0.6</f>
        <v>21000</v>
      </c>
      <c r="J56" s="16">
        <f>DataClean[Harga_Satuan]-DataClean[Modal]</f>
        <v>14000</v>
      </c>
      <c r="K56" s="16">
        <f>DataClean[[#This Row],[Qty]]*DataClean[[#This Row],[Harga_Satuan]]</f>
        <v>525000</v>
      </c>
      <c r="L56" s="16">
        <f>DataClean[Total_Penjualan]-DataClean[Modal]</f>
        <v>504000</v>
      </c>
      <c r="M56" t="s">
        <v>21</v>
      </c>
      <c r="N56" t="s">
        <v>15</v>
      </c>
      <c r="V56" t="s">
        <v>312</v>
      </c>
      <c r="W56" s="16">
        <f>SUMIF(DataClean[Nama_Toko],V56,DataClean[Total_Penjualan])</f>
        <v>240000</v>
      </c>
    </row>
    <row r="57" spans="1:23" x14ac:dyDescent="0.25">
      <c r="A57" s="2">
        <v>45155</v>
      </c>
      <c r="B57">
        <f>YEAR(DataClean[[#This Row],[Tanggal]])</f>
        <v>2023</v>
      </c>
      <c r="C57" t="s">
        <v>221</v>
      </c>
      <c r="D57" t="s">
        <v>222</v>
      </c>
      <c r="E57" t="s">
        <v>48</v>
      </c>
      <c r="F57" t="s">
        <v>223</v>
      </c>
      <c r="G57" s="11">
        <v>1</v>
      </c>
      <c r="H57" s="16">
        <v>250000</v>
      </c>
      <c r="I57" s="16">
        <f>DataClean[Harga_Satuan]*0.6</f>
        <v>150000</v>
      </c>
      <c r="J57" s="16">
        <f>DataClean[Harga_Satuan]-DataClean[Modal]</f>
        <v>100000</v>
      </c>
      <c r="K57" s="16">
        <f>DataClean[[#This Row],[Qty]]*DataClean[[#This Row],[Harga_Satuan]]</f>
        <v>250000</v>
      </c>
      <c r="L57" s="16">
        <f>DataClean[Total_Penjualan]-DataClean[Modal]</f>
        <v>100000</v>
      </c>
      <c r="M57" t="s">
        <v>53</v>
      </c>
      <c r="N57" t="s">
        <v>29</v>
      </c>
      <c r="V57" t="s">
        <v>321</v>
      </c>
      <c r="W57" s="16">
        <f>SUMIF(DataClean[Nama_Toko],V57,DataClean[Total_Penjualan])</f>
        <v>135000</v>
      </c>
    </row>
    <row r="58" spans="1:23" x14ac:dyDescent="0.25">
      <c r="A58" s="2">
        <v>45141</v>
      </c>
      <c r="B58">
        <f>YEAR(DataClean[[#This Row],[Tanggal]])</f>
        <v>2023</v>
      </c>
      <c r="C58" t="s">
        <v>225</v>
      </c>
      <c r="D58" t="s">
        <v>226</v>
      </c>
      <c r="E58" t="s">
        <v>12</v>
      </c>
      <c r="F58" t="s">
        <v>227</v>
      </c>
      <c r="G58" s="11">
        <v>3</v>
      </c>
      <c r="H58" s="16">
        <v>45000</v>
      </c>
      <c r="I58" s="16">
        <f>DataClean[Harga_Satuan]*0.6</f>
        <v>27000</v>
      </c>
      <c r="J58" s="16">
        <f>DataClean[Harga_Satuan]-DataClean[Modal]</f>
        <v>18000</v>
      </c>
      <c r="K58" s="16">
        <f>DataClean[[#This Row],[Qty]]*DataClean[[#This Row],[Harga_Satuan]]</f>
        <v>135000</v>
      </c>
      <c r="L58" s="16">
        <f>DataClean[Total_Penjualan]-DataClean[Modal]</f>
        <v>108000</v>
      </c>
      <c r="M58" t="s">
        <v>28</v>
      </c>
      <c r="N58" t="s">
        <v>15</v>
      </c>
      <c r="V58" t="s">
        <v>263</v>
      </c>
      <c r="W58" s="16">
        <f>SUMIF(DataClean[Nama_Toko],V58,DataClean[Total_Penjualan])</f>
        <v>120000</v>
      </c>
    </row>
    <row r="59" spans="1:23" x14ac:dyDescent="0.25">
      <c r="A59" s="2">
        <v>44938</v>
      </c>
      <c r="B59">
        <f>YEAR(DataClean[[#This Row],[Tanggal]])</f>
        <v>2023</v>
      </c>
      <c r="C59" t="s">
        <v>229</v>
      </c>
      <c r="D59" t="s">
        <v>190</v>
      </c>
      <c r="E59" t="s">
        <v>19</v>
      </c>
      <c r="F59" t="s">
        <v>230</v>
      </c>
      <c r="G59" s="11">
        <v>9</v>
      </c>
      <c r="H59" s="16">
        <v>9000</v>
      </c>
      <c r="I59" s="16">
        <f>DataClean[Harga_Satuan]*0.6</f>
        <v>5400</v>
      </c>
      <c r="J59" s="16">
        <f>DataClean[Harga_Satuan]-DataClean[Modal]</f>
        <v>3600</v>
      </c>
      <c r="K59" s="16">
        <f>DataClean[[#This Row],[Qty]]*DataClean[[#This Row],[Harga_Satuan]]</f>
        <v>81000</v>
      </c>
      <c r="L59" s="16">
        <f>DataClean[Total_Penjualan]-DataClean[Modal]</f>
        <v>75600</v>
      </c>
      <c r="M59" t="s">
        <v>39</v>
      </c>
      <c r="N59" t="s">
        <v>22</v>
      </c>
      <c r="V59" t="s">
        <v>328</v>
      </c>
      <c r="W59" s="16">
        <f>SUMIF(DataClean[Nama_Toko],V59,DataClean[Total_Penjualan])</f>
        <v>120000</v>
      </c>
    </row>
    <row r="60" spans="1:23" x14ac:dyDescent="0.25">
      <c r="A60" s="2">
        <v>44938</v>
      </c>
      <c r="B60">
        <f>YEAR(DataClean[[#This Row],[Tanggal]])</f>
        <v>2023</v>
      </c>
      <c r="C60" t="s">
        <v>232</v>
      </c>
      <c r="D60" t="s">
        <v>233</v>
      </c>
      <c r="E60" t="s">
        <v>26</v>
      </c>
      <c r="F60" t="s">
        <v>234</v>
      </c>
      <c r="G60" s="11">
        <v>2</v>
      </c>
      <c r="H60" s="16">
        <v>120000</v>
      </c>
      <c r="I60" s="16">
        <f>DataClean[Harga_Satuan]*0.6</f>
        <v>72000</v>
      </c>
      <c r="J60" s="16">
        <f>DataClean[Harga_Satuan]-DataClean[Modal]</f>
        <v>48000</v>
      </c>
      <c r="K60" s="16">
        <f>DataClean[[#This Row],[Qty]]*DataClean[[#This Row],[Harga_Satuan]]</f>
        <v>240000</v>
      </c>
      <c r="L60" s="16">
        <f>DataClean[Total_Penjualan]-DataClean[Modal]</f>
        <v>168000</v>
      </c>
      <c r="M60" t="s">
        <v>93</v>
      </c>
      <c r="N60" t="s">
        <v>29</v>
      </c>
      <c r="V60" t="s">
        <v>331</v>
      </c>
      <c r="W60" s="16">
        <f>SUMIF(DataClean[Nama_Toko],V60,DataClean[Total_Penjualan])</f>
        <v>105000</v>
      </c>
    </row>
    <row r="61" spans="1:23" x14ac:dyDescent="0.25">
      <c r="A61" s="2">
        <v>45605</v>
      </c>
      <c r="B61">
        <f>YEAR(DataClean[[#This Row],[Tanggal]])</f>
        <v>2024</v>
      </c>
      <c r="C61" t="s">
        <v>236</v>
      </c>
      <c r="D61" t="s">
        <v>237</v>
      </c>
      <c r="E61" t="s">
        <v>33</v>
      </c>
      <c r="F61" t="s">
        <v>238</v>
      </c>
      <c r="G61" s="11">
        <v>6</v>
      </c>
      <c r="H61" s="16">
        <v>15000</v>
      </c>
      <c r="I61" s="16">
        <f>DataClean[Harga_Satuan]*0.6</f>
        <v>9000</v>
      </c>
      <c r="J61" s="16">
        <f>DataClean[Harga_Satuan]-DataClean[Modal]</f>
        <v>6000</v>
      </c>
      <c r="K61" s="16">
        <f>DataClean[[#This Row],[Qty]]*DataClean[[#This Row],[Harga_Satuan]]</f>
        <v>90000</v>
      </c>
      <c r="L61" s="16">
        <f>DataClean[Total_Penjualan]-DataClean[Modal]</f>
        <v>81000</v>
      </c>
      <c r="M61" t="s">
        <v>45</v>
      </c>
      <c r="N61" t="s">
        <v>15</v>
      </c>
      <c r="V61" t="s">
        <v>335</v>
      </c>
      <c r="W61" s="16">
        <f>SUMIF(DataClean[Nama_Toko],V61,DataClean[Total_Penjualan])</f>
        <v>140000</v>
      </c>
    </row>
    <row r="62" spans="1:23" x14ac:dyDescent="0.25">
      <c r="A62" s="2">
        <v>45863</v>
      </c>
      <c r="B62">
        <f>YEAR(DataClean[[#This Row],[Tanggal]])</f>
        <v>2025</v>
      </c>
      <c r="C62" t="s">
        <v>240</v>
      </c>
      <c r="D62" t="s">
        <v>241</v>
      </c>
      <c r="E62" t="s">
        <v>12</v>
      </c>
      <c r="F62" t="s">
        <v>242</v>
      </c>
      <c r="G62" s="11">
        <v>5</v>
      </c>
      <c r="H62" s="16">
        <v>38000</v>
      </c>
      <c r="I62" s="16">
        <f>DataClean[Harga_Satuan]*0.6</f>
        <v>22800</v>
      </c>
      <c r="J62" s="16">
        <f>DataClean[Harga_Satuan]-DataClean[Modal]</f>
        <v>15200</v>
      </c>
      <c r="K62" s="16">
        <f>DataClean[[#This Row],[Qty]]*DataClean[[#This Row],[Harga_Satuan]]</f>
        <v>190000</v>
      </c>
      <c r="L62" s="16">
        <f>DataClean[Total_Penjualan]-DataClean[Modal]</f>
        <v>167200</v>
      </c>
      <c r="M62" t="s">
        <v>71</v>
      </c>
      <c r="N62" t="s">
        <v>22</v>
      </c>
      <c r="V62" t="s">
        <v>338</v>
      </c>
      <c r="W62" s="16">
        <f>SUMIF(DataClean[Nama_Toko],V62,DataClean[Total_Penjualan])</f>
        <v>140000</v>
      </c>
    </row>
    <row r="63" spans="1:23" x14ac:dyDescent="0.25">
      <c r="A63" s="2">
        <v>45667</v>
      </c>
      <c r="B63">
        <f>YEAR(DataClean[[#This Row],[Tanggal]])</f>
        <v>2025</v>
      </c>
      <c r="C63" t="s">
        <v>244</v>
      </c>
      <c r="D63" t="s">
        <v>245</v>
      </c>
      <c r="E63" t="s">
        <v>43</v>
      </c>
      <c r="F63" t="s">
        <v>246</v>
      </c>
      <c r="G63" s="11">
        <v>10</v>
      </c>
      <c r="H63" s="16">
        <v>45000</v>
      </c>
      <c r="I63" s="16">
        <f>DataClean[Harga_Satuan]*0.6</f>
        <v>27000</v>
      </c>
      <c r="J63" s="16">
        <f>DataClean[Harga_Satuan]-DataClean[Modal]</f>
        <v>18000</v>
      </c>
      <c r="K63" s="16">
        <f>DataClean[[#This Row],[Qty]]*DataClean[[#This Row],[Harga_Satuan]]</f>
        <v>450000</v>
      </c>
      <c r="L63" s="16">
        <f>DataClean[Total_Penjualan]-DataClean[Modal]</f>
        <v>423000</v>
      </c>
      <c r="M63" t="s">
        <v>67</v>
      </c>
      <c r="N63" t="s">
        <v>15</v>
      </c>
      <c r="V63" t="s">
        <v>342</v>
      </c>
      <c r="W63" s="16">
        <f>SUMIF(DataClean[Nama_Toko],V63,DataClean[Total_Penjualan])</f>
        <v>95000</v>
      </c>
    </row>
    <row r="64" spans="1:23" x14ac:dyDescent="0.25">
      <c r="A64" s="2">
        <v>45405</v>
      </c>
      <c r="B64">
        <f>YEAR(DataClean[[#This Row],[Tanggal]])</f>
        <v>2024</v>
      </c>
      <c r="C64" t="s">
        <v>248</v>
      </c>
      <c r="D64" t="s">
        <v>249</v>
      </c>
      <c r="E64" t="s">
        <v>48</v>
      </c>
      <c r="F64" t="s">
        <v>250</v>
      </c>
      <c r="G64" s="11">
        <v>1</v>
      </c>
      <c r="H64" s="16">
        <v>500000</v>
      </c>
      <c r="I64" s="16">
        <f>DataClean[Harga_Satuan]*0.6</f>
        <v>300000</v>
      </c>
      <c r="J64" s="16">
        <f>DataClean[Harga_Satuan]-DataClean[Modal]</f>
        <v>200000</v>
      </c>
      <c r="K64" s="16">
        <f>DataClean[[#This Row],[Qty]]*DataClean[[#This Row],[Harga_Satuan]]</f>
        <v>500000</v>
      </c>
      <c r="L64" s="16">
        <f>DataClean[Total_Penjualan]-DataClean[Modal]</f>
        <v>200000</v>
      </c>
      <c r="M64" t="s">
        <v>21</v>
      </c>
      <c r="N64" t="s">
        <v>29</v>
      </c>
      <c r="V64" t="s">
        <v>237</v>
      </c>
      <c r="W64" s="16">
        <f>SUMIF(DataClean[Nama_Toko],V64,DataClean[Total_Penjualan])</f>
        <v>195000</v>
      </c>
    </row>
    <row r="65" spans="1:23" x14ac:dyDescent="0.25">
      <c r="A65" s="2">
        <v>45969</v>
      </c>
      <c r="B65">
        <f>YEAR(DataClean[[#This Row],[Tanggal]])</f>
        <v>2025</v>
      </c>
      <c r="C65" t="s">
        <v>252</v>
      </c>
      <c r="D65" t="s">
        <v>253</v>
      </c>
      <c r="E65" t="s">
        <v>12</v>
      </c>
      <c r="F65" t="s">
        <v>254</v>
      </c>
      <c r="G65" s="11">
        <v>20</v>
      </c>
      <c r="H65" s="16">
        <v>5000</v>
      </c>
      <c r="I65" s="16">
        <f>DataClean[Harga_Satuan]*0.6</f>
        <v>3000</v>
      </c>
      <c r="J65" s="16">
        <f>DataClean[Harga_Satuan]-DataClean[Modal]</f>
        <v>2000</v>
      </c>
      <c r="K65" s="16">
        <f>DataClean[[#This Row],[Qty]]*DataClean[[#This Row],[Harga_Satuan]]</f>
        <v>100000</v>
      </c>
      <c r="L65" s="16">
        <f>DataClean[Total_Penjualan]-DataClean[Modal]</f>
        <v>97000</v>
      </c>
      <c r="M65" t="s">
        <v>53</v>
      </c>
      <c r="N65" t="s">
        <v>15</v>
      </c>
      <c r="V65" t="s">
        <v>349</v>
      </c>
      <c r="W65" s="16">
        <f>SUMIF(DataClean[Nama_Toko],V65,DataClean[Total_Penjualan])</f>
        <v>200000</v>
      </c>
    </row>
    <row r="66" spans="1:23" x14ac:dyDescent="0.25">
      <c r="A66" s="2">
        <v>45433</v>
      </c>
      <c r="B66">
        <f>YEAR(DataClean[[#This Row],[Tanggal]])</f>
        <v>2024</v>
      </c>
      <c r="C66" t="s">
        <v>256</v>
      </c>
      <c r="D66" t="s">
        <v>216</v>
      </c>
      <c r="E66" t="s">
        <v>19</v>
      </c>
      <c r="F66" t="s">
        <v>257</v>
      </c>
      <c r="G66" s="11">
        <v>14</v>
      </c>
      <c r="H66" s="16">
        <v>28000</v>
      </c>
      <c r="I66" s="16">
        <f>DataClean[Harga_Satuan]*0.6</f>
        <v>16800</v>
      </c>
      <c r="J66" s="16">
        <f>DataClean[Harga_Satuan]-DataClean[Modal]</f>
        <v>11200</v>
      </c>
      <c r="K66" s="16">
        <f>DataClean[[#This Row],[Qty]]*DataClean[[#This Row],[Harga_Satuan]]</f>
        <v>392000</v>
      </c>
      <c r="L66" s="16">
        <f>DataClean[Total_Penjualan]-DataClean[Modal]</f>
        <v>375200</v>
      </c>
      <c r="M66" t="s">
        <v>28</v>
      </c>
      <c r="N66" t="s">
        <v>22</v>
      </c>
      <c r="V66" t="s">
        <v>353</v>
      </c>
      <c r="W66" s="16">
        <f>SUMIF(DataClean[Nama_Toko],V66,DataClean[Total_Penjualan])</f>
        <v>120000</v>
      </c>
    </row>
    <row r="67" spans="1:23" x14ac:dyDescent="0.25">
      <c r="A67" s="2">
        <v>45111</v>
      </c>
      <c r="B67">
        <f>YEAR(DataClean[[#This Row],[Tanggal]])</f>
        <v>2023</v>
      </c>
      <c r="C67" t="s">
        <v>258</v>
      </c>
      <c r="D67" t="s">
        <v>259</v>
      </c>
      <c r="E67" t="s">
        <v>26</v>
      </c>
      <c r="F67" t="s">
        <v>260</v>
      </c>
      <c r="G67" s="11">
        <v>2</v>
      </c>
      <c r="H67" s="16">
        <v>75000</v>
      </c>
      <c r="I67" s="16">
        <f>DataClean[Harga_Satuan]*0.6</f>
        <v>45000</v>
      </c>
      <c r="J67" s="16">
        <f>DataClean[Harga_Satuan]-DataClean[Modal]</f>
        <v>30000</v>
      </c>
      <c r="K67" s="16">
        <f>DataClean[[#This Row],[Qty]]*DataClean[[#This Row],[Harga_Satuan]]</f>
        <v>150000</v>
      </c>
      <c r="L67" s="16">
        <f>DataClean[Total_Penjualan]-DataClean[Modal]</f>
        <v>105000</v>
      </c>
      <c r="M67" t="s">
        <v>59</v>
      </c>
      <c r="N67" t="s">
        <v>29</v>
      </c>
      <c r="V67" t="s">
        <v>356</v>
      </c>
      <c r="W67" s="16">
        <f>SUMIF(DataClean[Nama_Toko],V67,DataClean[Total_Penjualan])</f>
        <v>210000</v>
      </c>
    </row>
    <row r="68" spans="1:23" x14ac:dyDescent="0.25">
      <c r="A68" s="2">
        <v>45257</v>
      </c>
      <c r="B68">
        <f>YEAR(DataClean[[#This Row],[Tanggal]])</f>
        <v>2023</v>
      </c>
      <c r="C68" t="s">
        <v>262</v>
      </c>
      <c r="D68" t="s">
        <v>263</v>
      </c>
      <c r="E68" t="s">
        <v>33</v>
      </c>
      <c r="F68" t="s">
        <v>264</v>
      </c>
      <c r="G68" s="11">
        <v>4</v>
      </c>
      <c r="H68" s="16">
        <v>30000</v>
      </c>
      <c r="I68" s="16">
        <f>DataClean[Harga_Satuan]*0.6</f>
        <v>18000</v>
      </c>
      <c r="J68" s="16">
        <f>DataClean[Harga_Satuan]-DataClean[Modal]</f>
        <v>12000</v>
      </c>
      <c r="K68" s="16">
        <f>DataClean[[#This Row],[Qty]]*DataClean[[#This Row],[Harga_Satuan]]</f>
        <v>120000</v>
      </c>
      <c r="L68" s="16">
        <f>DataClean[Total_Penjualan]-DataClean[Modal]</f>
        <v>102000</v>
      </c>
      <c r="M68" t="s">
        <v>14</v>
      </c>
      <c r="N68" t="s">
        <v>15</v>
      </c>
      <c r="V68" t="s">
        <v>347</v>
      </c>
      <c r="W68" s="16">
        <f>SUMIF(DataClean[Nama_Toko],V68,DataClean[Total_Penjualan])</f>
        <v>135000</v>
      </c>
    </row>
    <row r="69" spans="1:23" x14ac:dyDescent="0.25">
      <c r="A69" s="2">
        <v>45992</v>
      </c>
      <c r="B69">
        <f>YEAR(DataClean[[#This Row],[Tanggal]])</f>
        <v>2025</v>
      </c>
      <c r="C69" t="s">
        <v>266</v>
      </c>
      <c r="D69" t="s">
        <v>267</v>
      </c>
      <c r="E69" t="s">
        <v>12</v>
      </c>
      <c r="F69" t="s">
        <v>268</v>
      </c>
      <c r="G69" s="11">
        <v>8</v>
      </c>
      <c r="H69" s="16">
        <v>16000</v>
      </c>
      <c r="I69" s="16">
        <f>DataClean[Harga_Satuan]*0.6</f>
        <v>9600</v>
      </c>
      <c r="J69" s="16">
        <f>DataClean[Harga_Satuan]-DataClean[Modal]</f>
        <v>6400</v>
      </c>
      <c r="K69" s="16">
        <f>DataClean[[#This Row],[Qty]]*DataClean[[#This Row],[Harga_Satuan]]</f>
        <v>128000</v>
      </c>
      <c r="L69" s="16">
        <f>DataClean[Total_Penjualan]-DataClean[Modal]</f>
        <v>118400</v>
      </c>
      <c r="M69" t="s">
        <v>45</v>
      </c>
      <c r="N69" t="s">
        <v>22</v>
      </c>
      <c r="V69" t="s">
        <v>362</v>
      </c>
      <c r="W69" s="16">
        <f>SUMIF(DataClean[Nama_Toko],V69,DataClean[Total_Penjualan])</f>
        <v>160000</v>
      </c>
    </row>
    <row r="70" spans="1:23" x14ac:dyDescent="0.25">
      <c r="A70" s="2">
        <v>44971</v>
      </c>
      <c r="B70">
        <f>YEAR(DataClean[[#This Row],[Tanggal]])</f>
        <v>2023</v>
      </c>
      <c r="C70" t="s">
        <v>269</v>
      </c>
      <c r="D70" t="s">
        <v>270</v>
      </c>
      <c r="E70" t="s">
        <v>43</v>
      </c>
      <c r="F70" t="s">
        <v>271</v>
      </c>
      <c r="G70" s="11">
        <v>12</v>
      </c>
      <c r="H70" s="16">
        <v>15000</v>
      </c>
      <c r="I70" s="16">
        <f>DataClean[Harga_Satuan]*0.6</f>
        <v>9000</v>
      </c>
      <c r="J70" s="16">
        <f>DataClean[Harga_Satuan]-DataClean[Modal]</f>
        <v>6000</v>
      </c>
      <c r="K70" s="16">
        <f>DataClean[[#This Row],[Qty]]*DataClean[[#This Row],[Harga_Satuan]]</f>
        <v>180000</v>
      </c>
      <c r="L70" s="16">
        <f>DataClean[Total_Penjualan]-DataClean[Modal]</f>
        <v>171000</v>
      </c>
      <c r="M70" t="s">
        <v>71</v>
      </c>
      <c r="N70" t="s">
        <v>15</v>
      </c>
      <c r="V70" t="s">
        <v>366</v>
      </c>
      <c r="W70" s="16">
        <f>SUMIF(DataClean[Nama_Toko],V70,DataClean[Total_Penjualan])</f>
        <v>250000</v>
      </c>
    </row>
    <row r="71" spans="1:23" x14ac:dyDescent="0.25">
      <c r="A71" s="2">
        <v>45932</v>
      </c>
      <c r="B71">
        <f>YEAR(DataClean[[#This Row],[Tanggal]])</f>
        <v>2025</v>
      </c>
      <c r="C71" t="s">
        <v>273</v>
      </c>
      <c r="D71" t="s">
        <v>274</v>
      </c>
      <c r="E71" t="s">
        <v>48</v>
      </c>
      <c r="F71" t="s">
        <v>275</v>
      </c>
      <c r="G71" s="11">
        <v>1</v>
      </c>
      <c r="H71" s="16">
        <v>100000</v>
      </c>
      <c r="I71" s="16">
        <f>DataClean[Harga_Satuan]*0.6</f>
        <v>60000</v>
      </c>
      <c r="J71" s="16">
        <f>DataClean[Harga_Satuan]-DataClean[Modal]</f>
        <v>40000</v>
      </c>
      <c r="K71" s="16">
        <f>DataClean[[#This Row],[Qty]]*DataClean[[#This Row],[Harga_Satuan]]</f>
        <v>100000</v>
      </c>
      <c r="L71" s="16">
        <f>DataClean[Total_Penjualan]-DataClean[Modal]</f>
        <v>40000</v>
      </c>
      <c r="M71" t="s">
        <v>67</v>
      </c>
      <c r="N71" t="s">
        <v>29</v>
      </c>
      <c r="V71" t="s">
        <v>196</v>
      </c>
      <c r="W71" s="16">
        <f>SUMIF(DataClean[Nama_Toko],V71,DataClean[Total_Penjualan])</f>
        <v>140000</v>
      </c>
    </row>
    <row r="72" spans="1:23" x14ac:dyDescent="0.25">
      <c r="A72" s="2">
        <v>45696</v>
      </c>
      <c r="B72">
        <f>YEAR(DataClean[[#This Row],[Tanggal]])</f>
        <v>2025</v>
      </c>
      <c r="C72" t="s">
        <v>276</v>
      </c>
      <c r="D72" t="s">
        <v>277</v>
      </c>
      <c r="E72" t="s">
        <v>12</v>
      </c>
      <c r="F72" t="s">
        <v>278</v>
      </c>
      <c r="G72" s="11">
        <v>6</v>
      </c>
      <c r="H72" s="16">
        <v>22000</v>
      </c>
      <c r="I72" s="16">
        <f>DataClean[Harga_Satuan]*0.6</f>
        <v>13200</v>
      </c>
      <c r="J72" s="16">
        <f>DataClean[Harga_Satuan]-DataClean[Modal]</f>
        <v>8800</v>
      </c>
      <c r="K72" s="16">
        <f>DataClean[[#This Row],[Qty]]*DataClean[[#This Row],[Harga_Satuan]]</f>
        <v>132000</v>
      </c>
      <c r="L72" s="16">
        <f>DataClean[Total_Penjualan]-DataClean[Modal]</f>
        <v>118800</v>
      </c>
      <c r="M72" t="s">
        <v>21</v>
      </c>
      <c r="N72" t="s">
        <v>15</v>
      </c>
      <c r="V72" t="s">
        <v>372</v>
      </c>
      <c r="W72" s="16">
        <f>SUMIF(DataClean[Nama_Toko],V72,DataClean[Total_Penjualan])</f>
        <v>540000</v>
      </c>
    </row>
    <row r="73" spans="1:23" x14ac:dyDescent="0.25">
      <c r="A73" s="2">
        <v>45399</v>
      </c>
      <c r="B73">
        <f>YEAR(DataClean[[#This Row],[Tanggal]])</f>
        <v>2024</v>
      </c>
      <c r="C73" t="s">
        <v>279</v>
      </c>
      <c r="D73" t="s">
        <v>239</v>
      </c>
      <c r="E73" t="s">
        <v>19</v>
      </c>
      <c r="F73" t="s">
        <v>280</v>
      </c>
      <c r="G73" s="11">
        <v>3</v>
      </c>
      <c r="H73" s="16">
        <v>25000</v>
      </c>
      <c r="I73" s="16">
        <f>DataClean[Harga_Satuan]*0.6</f>
        <v>15000</v>
      </c>
      <c r="J73" s="16">
        <f>DataClean[Harga_Satuan]-DataClean[Modal]</f>
        <v>10000</v>
      </c>
      <c r="K73" s="16">
        <f>DataClean[[#This Row],[Qty]]*DataClean[[#This Row],[Harga_Satuan]]</f>
        <v>75000</v>
      </c>
      <c r="L73" s="16">
        <f>DataClean[Total_Penjualan]-DataClean[Modal]</f>
        <v>60000</v>
      </c>
      <c r="M73" t="s">
        <v>53</v>
      </c>
      <c r="N73" t="s">
        <v>22</v>
      </c>
      <c r="V73" t="s">
        <v>376</v>
      </c>
      <c r="W73" s="16">
        <f>SUMIF(DataClean[Nama_Toko],V73,DataClean[Total_Penjualan])</f>
        <v>160000</v>
      </c>
    </row>
    <row r="74" spans="1:23" x14ac:dyDescent="0.25">
      <c r="A74" s="2">
        <v>45594</v>
      </c>
      <c r="B74">
        <f>YEAR(DataClean[[#This Row],[Tanggal]])</f>
        <v>2024</v>
      </c>
      <c r="C74" t="s">
        <v>282</v>
      </c>
      <c r="D74" t="s">
        <v>283</v>
      </c>
      <c r="E74" t="s">
        <v>26</v>
      </c>
      <c r="F74" t="s">
        <v>284</v>
      </c>
      <c r="G74" s="11">
        <v>1</v>
      </c>
      <c r="H74" s="16">
        <v>180000</v>
      </c>
      <c r="I74" s="16">
        <f>DataClean[Harga_Satuan]*0.6</f>
        <v>108000</v>
      </c>
      <c r="J74" s="16">
        <f>DataClean[Harga_Satuan]-DataClean[Modal]</f>
        <v>72000</v>
      </c>
      <c r="K74" s="16">
        <f>DataClean[[#This Row],[Qty]]*DataClean[[#This Row],[Harga_Satuan]]</f>
        <v>180000</v>
      </c>
      <c r="L74" s="16">
        <f>DataClean[Total_Penjualan]-DataClean[Modal]</f>
        <v>72000</v>
      </c>
      <c r="M74" t="s">
        <v>28</v>
      </c>
      <c r="N74" t="s">
        <v>29</v>
      </c>
      <c r="V74" t="s">
        <v>379</v>
      </c>
      <c r="W74" s="16">
        <f>SUMIF(DataClean[Nama_Toko],V74,DataClean[Total_Penjualan])</f>
        <v>180000</v>
      </c>
    </row>
    <row r="75" spans="1:23" x14ac:dyDescent="0.25">
      <c r="A75" s="2">
        <v>44955</v>
      </c>
      <c r="B75">
        <f>YEAR(DataClean[[#This Row],[Tanggal]])</f>
        <v>2023</v>
      </c>
      <c r="C75" t="s">
        <v>286</v>
      </c>
      <c r="D75" t="s">
        <v>281</v>
      </c>
      <c r="E75" t="s">
        <v>33</v>
      </c>
      <c r="F75" t="s">
        <v>287</v>
      </c>
      <c r="G75" s="11">
        <v>2</v>
      </c>
      <c r="H75" s="16">
        <v>65000</v>
      </c>
      <c r="I75" s="16">
        <f>DataClean[Harga_Satuan]*0.6</f>
        <v>39000</v>
      </c>
      <c r="J75" s="16">
        <f>DataClean[Harga_Satuan]-DataClean[Modal]</f>
        <v>26000</v>
      </c>
      <c r="K75" s="16">
        <f>DataClean[[#This Row],[Qty]]*DataClean[[#This Row],[Harga_Satuan]]</f>
        <v>130000</v>
      </c>
      <c r="L75" s="16">
        <f>DataClean[Total_Penjualan]-DataClean[Modal]</f>
        <v>91000</v>
      </c>
      <c r="M75" t="s">
        <v>39</v>
      </c>
      <c r="N75" t="s">
        <v>15</v>
      </c>
      <c r="V75" t="s">
        <v>77</v>
      </c>
      <c r="W75" s="16">
        <f>SUMIF(DataClean[Nama_Toko],V75,DataClean[Total_Penjualan])</f>
        <v>292000</v>
      </c>
    </row>
    <row r="76" spans="1:23" x14ac:dyDescent="0.25">
      <c r="A76" s="2">
        <v>45947</v>
      </c>
      <c r="B76">
        <f>YEAR(DataClean[[#This Row],[Tanggal]])</f>
        <v>2025</v>
      </c>
      <c r="C76" t="s">
        <v>289</v>
      </c>
      <c r="D76" t="s">
        <v>290</v>
      </c>
      <c r="E76" t="s">
        <v>12</v>
      </c>
      <c r="F76" t="s">
        <v>291</v>
      </c>
      <c r="G76" s="11">
        <v>10</v>
      </c>
      <c r="H76" s="16">
        <v>14000</v>
      </c>
      <c r="I76" s="16">
        <f>DataClean[Harga_Satuan]*0.6</f>
        <v>8400</v>
      </c>
      <c r="J76" s="16">
        <f>DataClean[Harga_Satuan]-DataClean[Modal]</f>
        <v>5600</v>
      </c>
      <c r="K76" s="16">
        <f>DataClean[[#This Row],[Qty]]*DataClean[[#This Row],[Harga_Satuan]]</f>
        <v>140000</v>
      </c>
      <c r="L76" s="16">
        <f>DataClean[Total_Penjualan]-DataClean[Modal]</f>
        <v>131600</v>
      </c>
      <c r="M76" t="s">
        <v>93</v>
      </c>
      <c r="N76" t="s">
        <v>22</v>
      </c>
      <c r="V76" t="s">
        <v>385</v>
      </c>
      <c r="W76" s="16">
        <f>SUMIF(DataClean[Nama_Toko],V76,DataClean[Total_Penjualan])</f>
        <v>210000</v>
      </c>
    </row>
    <row r="77" spans="1:23" x14ac:dyDescent="0.25">
      <c r="A77" s="2">
        <v>45467</v>
      </c>
      <c r="B77">
        <f>YEAR(DataClean[[#This Row],[Tanggal]])</f>
        <v>2024</v>
      </c>
      <c r="C77" t="s">
        <v>292</v>
      </c>
      <c r="D77" t="s">
        <v>293</v>
      </c>
      <c r="E77" t="s">
        <v>43</v>
      </c>
      <c r="F77" t="s">
        <v>294</v>
      </c>
      <c r="G77" s="11">
        <v>1</v>
      </c>
      <c r="H77" s="16">
        <v>250000</v>
      </c>
      <c r="I77" s="16">
        <f>DataClean[Harga_Satuan]*0.6</f>
        <v>150000</v>
      </c>
      <c r="J77" s="16">
        <f>DataClean[Harga_Satuan]-DataClean[Modal]</f>
        <v>100000</v>
      </c>
      <c r="K77" s="16">
        <f>DataClean[[#This Row],[Qty]]*DataClean[[#This Row],[Harga_Satuan]]</f>
        <v>250000</v>
      </c>
      <c r="L77" s="16">
        <f>DataClean[Total_Penjualan]-DataClean[Modal]</f>
        <v>100000</v>
      </c>
      <c r="M77" t="s">
        <v>45</v>
      </c>
      <c r="N77" t="s">
        <v>15</v>
      </c>
      <c r="V77" t="s">
        <v>389</v>
      </c>
      <c r="W77" s="16">
        <f>SUMIF(DataClean[Nama_Toko],V77,DataClean[Total_Penjualan])</f>
        <v>140000</v>
      </c>
    </row>
    <row r="78" spans="1:23" x14ac:dyDescent="0.25">
      <c r="A78" s="2">
        <v>45850</v>
      </c>
      <c r="B78">
        <f>YEAR(DataClean[[#This Row],[Tanggal]])</f>
        <v>2025</v>
      </c>
      <c r="C78" t="s">
        <v>296</v>
      </c>
      <c r="D78" t="s">
        <v>297</v>
      </c>
      <c r="E78" t="s">
        <v>48</v>
      </c>
      <c r="F78" t="s">
        <v>298</v>
      </c>
      <c r="G78" s="11">
        <v>1</v>
      </c>
      <c r="H78" s="16">
        <v>550000</v>
      </c>
      <c r="I78" s="16">
        <f>DataClean[Harga_Satuan]*0.6</f>
        <v>330000</v>
      </c>
      <c r="J78" s="16">
        <f>DataClean[Harga_Satuan]-DataClean[Modal]</f>
        <v>220000</v>
      </c>
      <c r="K78" s="16">
        <f>DataClean[[#This Row],[Qty]]*DataClean[[#This Row],[Harga_Satuan]]</f>
        <v>550000</v>
      </c>
      <c r="L78" s="16">
        <f>DataClean[Total_Penjualan]-DataClean[Modal]</f>
        <v>220000</v>
      </c>
      <c r="M78" t="s">
        <v>71</v>
      </c>
      <c r="N78" t="s">
        <v>29</v>
      </c>
      <c r="V78" t="s">
        <v>95</v>
      </c>
      <c r="W78" s="16">
        <f>SUMIF(DataClean[Nama_Toko],V78,DataClean[Total_Penjualan])</f>
        <v>90000</v>
      </c>
    </row>
    <row r="79" spans="1:23" x14ac:dyDescent="0.25">
      <c r="A79" s="2">
        <v>45475</v>
      </c>
      <c r="B79">
        <f>YEAR(DataClean[[#This Row],[Tanggal]])</f>
        <v>2024</v>
      </c>
      <c r="C79" t="s">
        <v>300</v>
      </c>
      <c r="D79" t="s">
        <v>301</v>
      </c>
      <c r="E79" t="s">
        <v>12</v>
      </c>
      <c r="F79" t="s">
        <v>302</v>
      </c>
      <c r="G79" s="11">
        <v>15</v>
      </c>
      <c r="H79" s="16">
        <v>8000</v>
      </c>
      <c r="I79" s="16">
        <f>DataClean[Harga_Satuan]*0.6</f>
        <v>4800</v>
      </c>
      <c r="J79" s="16">
        <f>DataClean[Harga_Satuan]-DataClean[Modal]</f>
        <v>3200</v>
      </c>
      <c r="K79" s="16">
        <f>DataClean[[#This Row],[Qty]]*DataClean[[#This Row],[Harga_Satuan]]</f>
        <v>120000</v>
      </c>
      <c r="L79" s="16">
        <f>DataClean[Total_Penjualan]-DataClean[Modal]</f>
        <v>115200</v>
      </c>
      <c r="M79" t="s">
        <v>67</v>
      </c>
      <c r="N79" t="s">
        <v>15</v>
      </c>
      <c r="V79" t="s">
        <v>396</v>
      </c>
      <c r="W79" s="16">
        <f>SUMIF(DataClean[Nama_Toko],V79,DataClean[Total_Penjualan])</f>
        <v>170000</v>
      </c>
    </row>
    <row r="80" spans="1:23" x14ac:dyDescent="0.25">
      <c r="A80" s="2">
        <v>45884</v>
      </c>
      <c r="B80">
        <f>YEAR(DataClean[[#This Row],[Tanggal]])</f>
        <v>2025</v>
      </c>
      <c r="C80" t="s">
        <v>304</v>
      </c>
      <c r="D80" t="s">
        <v>194</v>
      </c>
      <c r="E80" t="s">
        <v>19</v>
      </c>
      <c r="F80" t="s">
        <v>305</v>
      </c>
      <c r="G80" s="11">
        <v>20</v>
      </c>
      <c r="H80" s="16">
        <v>5000</v>
      </c>
      <c r="I80" s="16">
        <f>DataClean[Harga_Satuan]*0.6</f>
        <v>3000</v>
      </c>
      <c r="J80" s="16">
        <f>DataClean[Harga_Satuan]-DataClean[Modal]</f>
        <v>2000</v>
      </c>
      <c r="K80" s="16">
        <f>DataClean[[#This Row],[Qty]]*DataClean[[#This Row],[Harga_Satuan]]</f>
        <v>100000</v>
      </c>
      <c r="L80" s="16">
        <f>DataClean[Total_Penjualan]-DataClean[Modal]</f>
        <v>97000</v>
      </c>
      <c r="M80" t="s">
        <v>21</v>
      </c>
      <c r="N80" t="s">
        <v>22</v>
      </c>
      <c r="V80" t="s">
        <v>400</v>
      </c>
      <c r="W80" s="16">
        <f>SUMIF(DataClean[Nama_Toko],V80,DataClean[Total_Penjualan])</f>
        <v>450000</v>
      </c>
    </row>
    <row r="81" spans="1:23" x14ac:dyDescent="0.25">
      <c r="A81" s="2">
        <v>45453</v>
      </c>
      <c r="B81">
        <f>YEAR(DataClean[[#This Row],[Tanggal]])</f>
        <v>2024</v>
      </c>
      <c r="C81" t="s">
        <v>307</v>
      </c>
      <c r="D81" t="s">
        <v>308</v>
      </c>
      <c r="E81" t="s">
        <v>26</v>
      </c>
      <c r="F81" t="s">
        <v>309</v>
      </c>
      <c r="G81" s="11">
        <v>1</v>
      </c>
      <c r="H81" s="16">
        <v>300000</v>
      </c>
      <c r="I81" s="16">
        <f>DataClean[Harga_Satuan]*0.6</f>
        <v>180000</v>
      </c>
      <c r="J81" s="16">
        <f>DataClean[Harga_Satuan]-DataClean[Modal]</f>
        <v>120000</v>
      </c>
      <c r="K81" s="16">
        <f>DataClean[[#This Row],[Qty]]*DataClean[[#This Row],[Harga_Satuan]]</f>
        <v>300000</v>
      </c>
      <c r="L81" s="16">
        <f>DataClean[Total_Penjualan]-DataClean[Modal]</f>
        <v>120000</v>
      </c>
      <c r="M81" t="s">
        <v>53</v>
      </c>
      <c r="N81" t="s">
        <v>29</v>
      </c>
      <c r="V81" t="s">
        <v>297</v>
      </c>
      <c r="W81" s="16">
        <f>SUMIF(DataClean[Nama_Toko],V81,DataClean[Total_Penjualan])</f>
        <v>670000</v>
      </c>
    </row>
    <row r="82" spans="1:23" x14ac:dyDescent="0.25">
      <c r="A82" s="2">
        <v>45081</v>
      </c>
      <c r="B82">
        <f>YEAR(DataClean[[#This Row],[Tanggal]])</f>
        <v>2023</v>
      </c>
      <c r="C82" t="s">
        <v>311</v>
      </c>
      <c r="D82" t="s">
        <v>312</v>
      </c>
      <c r="E82" t="s">
        <v>33</v>
      </c>
      <c r="F82" t="s">
        <v>313</v>
      </c>
      <c r="G82" s="11">
        <v>3</v>
      </c>
      <c r="H82" s="16">
        <v>80000</v>
      </c>
      <c r="I82" s="16">
        <f>DataClean[Harga_Satuan]*0.6</f>
        <v>48000</v>
      </c>
      <c r="J82" s="16">
        <f>DataClean[Harga_Satuan]-DataClean[Modal]</f>
        <v>32000</v>
      </c>
      <c r="K82" s="16">
        <f>DataClean[[#This Row],[Qty]]*DataClean[[#This Row],[Harga_Satuan]]</f>
        <v>240000</v>
      </c>
      <c r="L82" s="16">
        <f>DataClean[Total_Penjualan]-DataClean[Modal]</f>
        <v>192000</v>
      </c>
      <c r="M82" t="s">
        <v>28</v>
      </c>
      <c r="N82" t="s">
        <v>15</v>
      </c>
      <c r="V82" t="s">
        <v>406</v>
      </c>
      <c r="W82" s="16">
        <f>SUMIF(DataClean[Nama_Toko],V82,DataClean[Total_Penjualan])</f>
        <v>150000</v>
      </c>
    </row>
    <row r="83" spans="1:23" x14ac:dyDescent="0.25">
      <c r="A83" s="2">
        <v>45534</v>
      </c>
      <c r="B83">
        <f>YEAR(DataClean[[#This Row],[Tanggal]])</f>
        <v>2024</v>
      </c>
      <c r="C83" t="s">
        <v>315</v>
      </c>
      <c r="D83" t="s">
        <v>316</v>
      </c>
      <c r="E83" t="s">
        <v>12</v>
      </c>
      <c r="F83" t="s">
        <v>317</v>
      </c>
      <c r="G83" s="11">
        <v>7</v>
      </c>
      <c r="H83" s="16">
        <v>75000</v>
      </c>
      <c r="I83" s="16">
        <f>DataClean[Harga_Satuan]*0.6</f>
        <v>45000</v>
      </c>
      <c r="J83" s="16">
        <f>DataClean[Harga_Satuan]-DataClean[Modal]</f>
        <v>30000</v>
      </c>
      <c r="K83" s="16">
        <f>DataClean[[#This Row],[Qty]]*DataClean[[#This Row],[Harga_Satuan]]</f>
        <v>525000</v>
      </c>
      <c r="L83" s="16">
        <f>DataClean[Total_Penjualan]-DataClean[Modal]</f>
        <v>480000</v>
      </c>
      <c r="M83" t="s">
        <v>59</v>
      </c>
      <c r="N83" t="s">
        <v>22</v>
      </c>
      <c r="V83" t="s">
        <v>249</v>
      </c>
      <c r="W83" s="16">
        <f>SUMIF(DataClean[Nama_Toko],V83,DataClean[Total_Penjualan])</f>
        <v>500000</v>
      </c>
    </row>
    <row r="84" spans="1:23" x14ac:dyDescent="0.25">
      <c r="A84" s="2">
        <v>45231</v>
      </c>
      <c r="B84">
        <f>YEAR(DataClean[[#This Row],[Tanggal]])</f>
        <v>2023</v>
      </c>
      <c r="C84" t="s">
        <v>318</v>
      </c>
      <c r="D84" t="s">
        <v>319</v>
      </c>
      <c r="E84" t="s">
        <v>43</v>
      </c>
      <c r="F84" t="s">
        <v>320</v>
      </c>
      <c r="G84" s="11">
        <v>2</v>
      </c>
      <c r="H84" s="16">
        <v>150000</v>
      </c>
      <c r="I84" s="16">
        <f>DataClean[Harga_Satuan]*0.6</f>
        <v>90000</v>
      </c>
      <c r="J84" s="16">
        <f>DataClean[Harga_Satuan]-DataClean[Modal]</f>
        <v>60000</v>
      </c>
      <c r="K84" s="16">
        <f>DataClean[[#This Row],[Qty]]*DataClean[[#This Row],[Harga_Satuan]]</f>
        <v>300000</v>
      </c>
      <c r="L84" s="16">
        <f>DataClean[Total_Penjualan]-DataClean[Modal]</f>
        <v>210000</v>
      </c>
      <c r="M84" t="s">
        <v>14</v>
      </c>
      <c r="N84" t="s">
        <v>15</v>
      </c>
      <c r="V84" t="s">
        <v>412</v>
      </c>
      <c r="W84" s="16">
        <f>SUMIF(DataClean[Nama_Toko],V84,DataClean[Total_Penjualan])</f>
        <v>220000</v>
      </c>
    </row>
    <row r="85" spans="1:23" x14ac:dyDescent="0.25">
      <c r="A85" s="2">
        <v>45697</v>
      </c>
      <c r="B85">
        <f>YEAR(DataClean[[#This Row],[Tanggal]])</f>
        <v>2025</v>
      </c>
      <c r="C85" t="s">
        <v>322</v>
      </c>
      <c r="D85" t="s">
        <v>323</v>
      </c>
      <c r="E85" t="s">
        <v>48</v>
      </c>
      <c r="F85" t="s">
        <v>324</v>
      </c>
      <c r="G85" s="11">
        <v>5</v>
      </c>
      <c r="H85" s="16">
        <v>40000</v>
      </c>
      <c r="I85" s="16">
        <f>DataClean[Harga_Satuan]*0.6</f>
        <v>24000</v>
      </c>
      <c r="J85" s="16">
        <f>DataClean[Harga_Satuan]-DataClean[Modal]</f>
        <v>16000</v>
      </c>
      <c r="K85" s="16">
        <f>DataClean[[#This Row],[Qty]]*DataClean[[#This Row],[Harga_Satuan]]</f>
        <v>200000</v>
      </c>
      <c r="L85" s="16">
        <f>DataClean[Total_Penjualan]-DataClean[Modal]</f>
        <v>176000</v>
      </c>
      <c r="M85" t="s">
        <v>45</v>
      </c>
      <c r="N85" t="s">
        <v>29</v>
      </c>
      <c r="V85" t="s">
        <v>416</v>
      </c>
      <c r="W85" s="16">
        <f>SUMIF(DataClean[Nama_Toko],V85,DataClean[Total_Penjualan])</f>
        <v>350000</v>
      </c>
    </row>
    <row r="86" spans="1:23" x14ac:dyDescent="0.25">
      <c r="A86" s="2">
        <v>45521</v>
      </c>
      <c r="B86">
        <f>YEAR(DataClean[[#This Row],[Tanggal]])</f>
        <v>2024</v>
      </c>
      <c r="C86" t="s">
        <v>325</v>
      </c>
      <c r="D86" t="s">
        <v>326</v>
      </c>
      <c r="E86" t="s">
        <v>12</v>
      </c>
      <c r="F86" t="s">
        <v>327</v>
      </c>
      <c r="G86" s="11">
        <v>8</v>
      </c>
      <c r="H86" s="16">
        <v>14000</v>
      </c>
      <c r="I86" s="16">
        <f>DataClean[Harga_Satuan]*0.6</f>
        <v>8400</v>
      </c>
      <c r="J86" s="16">
        <f>DataClean[Harga_Satuan]-DataClean[Modal]</f>
        <v>5600</v>
      </c>
      <c r="K86" s="16">
        <f>DataClean[[#This Row],[Qty]]*DataClean[[#This Row],[Harga_Satuan]]</f>
        <v>112000</v>
      </c>
      <c r="L86" s="16">
        <f>DataClean[Total_Penjualan]-DataClean[Modal]</f>
        <v>103600</v>
      </c>
      <c r="M86" t="s">
        <v>71</v>
      </c>
      <c r="N86" t="s">
        <v>15</v>
      </c>
      <c r="V86" t="s">
        <v>420</v>
      </c>
      <c r="W86" s="16">
        <f>SUMIF(DataClean[Nama_Toko],V86,DataClean[Total_Penjualan])</f>
        <v>415000</v>
      </c>
    </row>
    <row r="87" spans="1:23" x14ac:dyDescent="0.25">
      <c r="A87" s="2">
        <v>45112</v>
      </c>
      <c r="B87">
        <f>YEAR(DataClean[[#This Row],[Tanggal]])</f>
        <v>2023</v>
      </c>
      <c r="C87" t="s">
        <v>329</v>
      </c>
      <c r="D87" t="s">
        <v>243</v>
      </c>
      <c r="E87" t="s">
        <v>19</v>
      </c>
      <c r="F87" t="s">
        <v>330</v>
      </c>
      <c r="G87" s="11">
        <v>10</v>
      </c>
      <c r="H87" s="16">
        <v>18000</v>
      </c>
      <c r="I87" s="16">
        <f>DataClean[Harga_Satuan]*0.6</f>
        <v>10800</v>
      </c>
      <c r="J87" s="16">
        <f>DataClean[Harga_Satuan]-DataClean[Modal]</f>
        <v>7200</v>
      </c>
      <c r="K87" s="16">
        <f>DataClean[[#This Row],[Qty]]*DataClean[[#This Row],[Harga_Satuan]]</f>
        <v>180000</v>
      </c>
      <c r="L87" s="16">
        <f>DataClean[Total_Penjualan]-DataClean[Modal]</f>
        <v>169200</v>
      </c>
      <c r="M87" t="s">
        <v>67</v>
      </c>
      <c r="N87" t="s">
        <v>22</v>
      </c>
      <c r="V87" t="s">
        <v>222</v>
      </c>
      <c r="W87" s="16">
        <f>SUMIF(DataClean[Nama_Toko],V87,DataClean[Total_Penjualan])</f>
        <v>920000</v>
      </c>
    </row>
    <row r="88" spans="1:23" x14ac:dyDescent="0.25">
      <c r="A88" s="2">
        <v>45665</v>
      </c>
      <c r="B88">
        <f>YEAR(DataClean[[#This Row],[Tanggal]])</f>
        <v>2025</v>
      </c>
      <c r="C88" t="s">
        <v>332</v>
      </c>
      <c r="D88" t="s">
        <v>333</v>
      </c>
      <c r="E88" t="s">
        <v>26</v>
      </c>
      <c r="F88" t="s">
        <v>334</v>
      </c>
      <c r="G88" s="11">
        <v>1</v>
      </c>
      <c r="H88" s="16">
        <v>700000</v>
      </c>
      <c r="I88" s="16">
        <f>DataClean[Harga_Satuan]*0.6</f>
        <v>420000</v>
      </c>
      <c r="J88" s="16">
        <f>DataClean[Harga_Satuan]-DataClean[Modal]</f>
        <v>280000</v>
      </c>
      <c r="K88" s="16">
        <f>DataClean[[#This Row],[Qty]]*DataClean[[#This Row],[Harga_Satuan]]</f>
        <v>700000</v>
      </c>
      <c r="L88" s="16">
        <f>DataClean[Total_Penjualan]-DataClean[Modal]</f>
        <v>280000</v>
      </c>
      <c r="M88" t="s">
        <v>21</v>
      </c>
      <c r="N88" t="s">
        <v>29</v>
      </c>
      <c r="V88" t="s">
        <v>323</v>
      </c>
      <c r="W88" s="16">
        <f>SUMIF(DataClean[Nama_Toko],V88,DataClean[Total_Penjualan])</f>
        <v>200000</v>
      </c>
    </row>
    <row r="89" spans="1:23" x14ac:dyDescent="0.25">
      <c r="A89" s="2">
        <v>44960</v>
      </c>
      <c r="B89">
        <f>YEAR(DataClean[[#This Row],[Tanggal]])</f>
        <v>2023</v>
      </c>
      <c r="C89" t="s">
        <v>336</v>
      </c>
      <c r="D89" t="s">
        <v>295</v>
      </c>
      <c r="E89" t="s">
        <v>33</v>
      </c>
      <c r="F89" t="s">
        <v>337</v>
      </c>
      <c r="G89" s="11">
        <v>4</v>
      </c>
      <c r="H89" s="16">
        <v>55000</v>
      </c>
      <c r="I89" s="16">
        <f>DataClean[Harga_Satuan]*0.6</f>
        <v>33000</v>
      </c>
      <c r="J89" s="16">
        <f>DataClean[Harga_Satuan]-DataClean[Modal]</f>
        <v>22000</v>
      </c>
      <c r="K89" s="16">
        <f>DataClean[[#This Row],[Qty]]*DataClean[[#This Row],[Harga_Satuan]]</f>
        <v>220000</v>
      </c>
      <c r="L89" s="16">
        <f>DataClean[Total_Penjualan]-DataClean[Modal]</f>
        <v>187000</v>
      </c>
      <c r="M89" t="s">
        <v>53</v>
      </c>
      <c r="N89" t="s">
        <v>15</v>
      </c>
      <c r="V89" t="s">
        <v>418</v>
      </c>
      <c r="W89" s="16">
        <f>SUMIF(DataClean[Nama_Toko],V89,DataClean[Total_Penjualan])</f>
        <v>520000</v>
      </c>
    </row>
    <row r="90" spans="1:23" x14ac:dyDescent="0.25">
      <c r="A90" s="2">
        <v>45289</v>
      </c>
      <c r="B90">
        <f>YEAR(DataClean[[#This Row],[Tanggal]])</f>
        <v>2023</v>
      </c>
      <c r="C90" t="s">
        <v>339</v>
      </c>
      <c r="D90" t="s">
        <v>340</v>
      </c>
      <c r="E90" t="s">
        <v>12</v>
      </c>
      <c r="F90" t="s">
        <v>341</v>
      </c>
      <c r="G90" s="11">
        <v>11</v>
      </c>
      <c r="H90" s="16">
        <v>35000</v>
      </c>
      <c r="I90" s="16">
        <f>DataClean[Harga_Satuan]*0.6</f>
        <v>21000</v>
      </c>
      <c r="J90" s="16">
        <f>DataClean[Harga_Satuan]-DataClean[Modal]</f>
        <v>14000</v>
      </c>
      <c r="K90" s="16">
        <f>DataClean[[#This Row],[Qty]]*DataClean[[#This Row],[Harga_Satuan]]</f>
        <v>385000</v>
      </c>
      <c r="L90" s="16">
        <f>DataClean[Total_Penjualan]-DataClean[Modal]</f>
        <v>364000</v>
      </c>
      <c r="M90" t="s">
        <v>28</v>
      </c>
      <c r="N90" t="s">
        <v>22</v>
      </c>
      <c r="V90" t="s">
        <v>170</v>
      </c>
      <c r="W90" s="16">
        <f>SUMIF(DataClean[Nama_Toko],V90,DataClean[Total_Penjualan])</f>
        <v>60000</v>
      </c>
    </row>
    <row r="91" spans="1:23" x14ac:dyDescent="0.25">
      <c r="A91" s="2">
        <v>45555</v>
      </c>
      <c r="B91">
        <f>YEAR(DataClean[[#This Row],[Tanggal]])</f>
        <v>2024</v>
      </c>
      <c r="C91" t="s">
        <v>343</v>
      </c>
      <c r="D91" t="s">
        <v>344</v>
      </c>
      <c r="E91" t="s">
        <v>43</v>
      </c>
      <c r="F91" t="s">
        <v>345</v>
      </c>
      <c r="G91" s="11">
        <v>4</v>
      </c>
      <c r="H91" s="16">
        <v>130000</v>
      </c>
      <c r="I91" s="16">
        <f>DataClean[Harga_Satuan]*0.6</f>
        <v>78000</v>
      </c>
      <c r="J91" s="16">
        <f>DataClean[Harga_Satuan]-DataClean[Modal]</f>
        <v>52000</v>
      </c>
      <c r="K91" s="16">
        <f>DataClean[[#This Row],[Qty]]*DataClean[[#This Row],[Harga_Satuan]]</f>
        <v>520000</v>
      </c>
      <c r="L91" s="16">
        <f>DataClean[Total_Penjualan]-DataClean[Modal]</f>
        <v>442000</v>
      </c>
      <c r="M91" t="s">
        <v>39</v>
      </c>
      <c r="N91" t="s">
        <v>15</v>
      </c>
      <c r="V91" t="s">
        <v>434</v>
      </c>
      <c r="W91" s="16">
        <f>SUMIF(DataClean[Nama_Toko],V91,DataClean[Total_Penjualan])</f>
        <v>120000</v>
      </c>
    </row>
    <row r="92" spans="1:23" x14ac:dyDescent="0.25">
      <c r="A92" s="2">
        <v>45209</v>
      </c>
      <c r="B92">
        <f>YEAR(DataClean[[#This Row],[Tanggal]])</f>
        <v>2023</v>
      </c>
      <c r="C92" t="s">
        <v>346</v>
      </c>
      <c r="D92" t="s">
        <v>347</v>
      </c>
      <c r="E92" t="s">
        <v>48</v>
      </c>
      <c r="F92" t="s">
        <v>348</v>
      </c>
      <c r="G92" s="11">
        <v>3</v>
      </c>
      <c r="H92" s="16">
        <v>45000</v>
      </c>
      <c r="I92" s="16">
        <f>DataClean[Harga_Satuan]*0.6</f>
        <v>27000</v>
      </c>
      <c r="J92" s="16">
        <f>DataClean[Harga_Satuan]-DataClean[Modal]</f>
        <v>18000</v>
      </c>
      <c r="K92" s="16">
        <f>DataClean[[#This Row],[Qty]]*DataClean[[#This Row],[Harga_Satuan]]</f>
        <v>135000</v>
      </c>
      <c r="L92" s="16">
        <f>DataClean[Total_Penjualan]-DataClean[Modal]</f>
        <v>108000</v>
      </c>
      <c r="M92" t="s">
        <v>93</v>
      </c>
      <c r="N92" t="s">
        <v>29</v>
      </c>
      <c r="V92" t="s">
        <v>145</v>
      </c>
      <c r="W92" s="16">
        <f>SUMIF(DataClean[Nama_Toko],V92,DataClean[Total_Penjualan])</f>
        <v>530000</v>
      </c>
    </row>
    <row r="93" spans="1:23" x14ac:dyDescent="0.25">
      <c r="A93" s="2">
        <v>45087</v>
      </c>
      <c r="B93">
        <f>YEAR(DataClean[[#This Row],[Tanggal]])</f>
        <v>2023</v>
      </c>
      <c r="C93" t="s">
        <v>350</v>
      </c>
      <c r="D93" t="s">
        <v>351</v>
      </c>
      <c r="E93" t="s">
        <v>12</v>
      </c>
      <c r="F93" t="s">
        <v>352</v>
      </c>
      <c r="G93" s="11">
        <v>7</v>
      </c>
      <c r="H93" s="16">
        <v>9000</v>
      </c>
      <c r="I93" s="16">
        <f>DataClean[Harga_Satuan]*0.6</f>
        <v>5400</v>
      </c>
      <c r="J93" s="16">
        <f>DataClean[Harga_Satuan]-DataClean[Modal]</f>
        <v>3600</v>
      </c>
      <c r="K93" s="16">
        <f>DataClean[[#This Row],[Qty]]*DataClean[[#This Row],[Harga_Satuan]]</f>
        <v>63000</v>
      </c>
      <c r="L93" s="16">
        <f>DataClean[Total_Penjualan]-DataClean[Modal]</f>
        <v>57600</v>
      </c>
      <c r="M93" t="s">
        <v>45</v>
      </c>
      <c r="N93" t="s">
        <v>15</v>
      </c>
      <c r="V93" t="s">
        <v>440</v>
      </c>
      <c r="W93" s="16">
        <f>SUMIF(DataClean[Nama_Toko],V93,DataClean[Total_Penjualan])</f>
        <v>280000</v>
      </c>
    </row>
    <row r="94" spans="1:23" x14ac:dyDescent="0.25">
      <c r="A94" s="2">
        <v>45613</v>
      </c>
      <c r="B94">
        <f>YEAR(DataClean[[#This Row],[Tanggal]])</f>
        <v>2024</v>
      </c>
      <c r="C94" t="s">
        <v>354</v>
      </c>
      <c r="D94" t="s">
        <v>176</v>
      </c>
      <c r="E94" t="s">
        <v>19</v>
      </c>
      <c r="F94" t="s">
        <v>355</v>
      </c>
      <c r="G94" s="11">
        <v>12</v>
      </c>
      <c r="H94" s="16">
        <v>11000</v>
      </c>
      <c r="I94" s="16">
        <f>DataClean[Harga_Satuan]*0.6</f>
        <v>6600</v>
      </c>
      <c r="J94" s="16">
        <f>DataClean[Harga_Satuan]-DataClean[Modal]</f>
        <v>4400</v>
      </c>
      <c r="K94" s="16">
        <f>DataClean[[#This Row],[Qty]]*DataClean[[#This Row],[Harga_Satuan]]</f>
        <v>132000</v>
      </c>
      <c r="L94" s="16">
        <f>DataClean[Total_Penjualan]-DataClean[Modal]</f>
        <v>125400</v>
      </c>
      <c r="M94" t="s">
        <v>71</v>
      </c>
      <c r="N94" t="s">
        <v>22</v>
      </c>
      <c r="V94" t="s">
        <v>117</v>
      </c>
      <c r="W94" s="16">
        <f>SUMIF(DataClean[Nama_Toko],V94,DataClean[Total_Penjualan])</f>
        <v>240000</v>
      </c>
    </row>
    <row r="95" spans="1:23" x14ac:dyDescent="0.25">
      <c r="A95" s="2">
        <v>45290</v>
      </c>
      <c r="B95">
        <f>YEAR(DataClean[[#This Row],[Tanggal]])</f>
        <v>2023</v>
      </c>
      <c r="C95" t="s">
        <v>357</v>
      </c>
      <c r="D95" t="s">
        <v>358</v>
      </c>
      <c r="E95" t="s">
        <v>26</v>
      </c>
      <c r="F95" t="s">
        <v>359</v>
      </c>
      <c r="G95" s="11">
        <v>2</v>
      </c>
      <c r="H95" s="16">
        <v>90000</v>
      </c>
      <c r="I95" s="16">
        <f>DataClean[Harga_Satuan]*0.6</f>
        <v>54000</v>
      </c>
      <c r="J95" s="16">
        <f>DataClean[Harga_Satuan]-DataClean[Modal]</f>
        <v>36000</v>
      </c>
      <c r="K95" s="16">
        <f>DataClean[[#This Row],[Qty]]*DataClean[[#This Row],[Harga_Satuan]]</f>
        <v>180000</v>
      </c>
      <c r="L95" s="16">
        <f>DataClean[Total_Penjualan]-DataClean[Modal]</f>
        <v>126000</v>
      </c>
      <c r="M95" t="s">
        <v>67</v>
      </c>
      <c r="N95" t="s">
        <v>29</v>
      </c>
      <c r="V95" t="s">
        <v>446</v>
      </c>
      <c r="W95" s="16">
        <f>SUMIF(DataClean[Nama_Toko],V95,DataClean[Total_Penjualan])</f>
        <v>200000</v>
      </c>
    </row>
    <row r="96" spans="1:23" x14ac:dyDescent="0.25">
      <c r="A96" s="2">
        <v>45967</v>
      </c>
      <c r="B96">
        <f>YEAR(DataClean[[#This Row],[Tanggal]])</f>
        <v>2025</v>
      </c>
      <c r="C96" t="s">
        <v>360</v>
      </c>
      <c r="D96" t="s">
        <v>265</v>
      </c>
      <c r="E96" t="s">
        <v>33</v>
      </c>
      <c r="F96" t="s">
        <v>361</v>
      </c>
      <c r="G96" s="11">
        <v>5</v>
      </c>
      <c r="H96" s="16">
        <v>20000</v>
      </c>
      <c r="I96" s="16">
        <f>DataClean[Harga_Satuan]*0.6</f>
        <v>12000</v>
      </c>
      <c r="J96" s="16">
        <f>DataClean[Harga_Satuan]-DataClean[Modal]</f>
        <v>8000</v>
      </c>
      <c r="K96" s="16">
        <f>DataClean[[#This Row],[Qty]]*DataClean[[#This Row],[Harga_Satuan]]</f>
        <v>100000</v>
      </c>
      <c r="L96" s="16">
        <f>DataClean[Total_Penjualan]-DataClean[Modal]</f>
        <v>88000</v>
      </c>
      <c r="M96" t="s">
        <v>21</v>
      </c>
      <c r="N96" t="s">
        <v>15</v>
      </c>
      <c r="V96" t="s">
        <v>450</v>
      </c>
      <c r="W96" s="16">
        <f>SUMIF(DataClean[Nama_Toko],V96,DataClean[Total_Penjualan])</f>
        <v>555000</v>
      </c>
    </row>
    <row r="97" spans="1:23" x14ac:dyDescent="0.25">
      <c r="A97" s="2">
        <v>45049</v>
      </c>
      <c r="B97">
        <f>YEAR(DataClean[[#This Row],[Tanggal]])</f>
        <v>2023</v>
      </c>
      <c r="C97" t="s">
        <v>363</v>
      </c>
      <c r="D97" t="s">
        <v>364</v>
      </c>
      <c r="E97" t="s">
        <v>12</v>
      </c>
      <c r="F97" t="s">
        <v>365</v>
      </c>
      <c r="G97" s="11">
        <v>9</v>
      </c>
      <c r="H97" s="16">
        <v>15000</v>
      </c>
      <c r="I97" s="16">
        <f>DataClean[Harga_Satuan]*0.6</f>
        <v>9000</v>
      </c>
      <c r="J97" s="16">
        <f>DataClean[Harga_Satuan]-DataClean[Modal]</f>
        <v>6000</v>
      </c>
      <c r="K97" s="16">
        <f>DataClean[[#This Row],[Qty]]*DataClean[[#This Row],[Harga_Satuan]]</f>
        <v>135000</v>
      </c>
      <c r="L97" s="16">
        <f>DataClean[Total_Penjualan]-DataClean[Modal]</f>
        <v>126000</v>
      </c>
      <c r="M97" t="s">
        <v>53</v>
      </c>
      <c r="N97" t="s">
        <v>22</v>
      </c>
      <c r="V97" t="s">
        <v>274</v>
      </c>
      <c r="W97" s="16">
        <f>SUMIF(DataClean[Nama_Toko],V97,DataClean[Total_Penjualan])</f>
        <v>100000</v>
      </c>
    </row>
    <row r="98" spans="1:23" x14ac:dyDescent="0.25">
      <c r="A98" s="2">
        <v>45066</v>
      </c>
      <c r="B98">
        <f>YEAR(DataClean[[#This Row],[Tanggal]])</f>
        <v>2023</v>
      </c>
      <c r="C98" t="s">
        <v>367</v>
      </c>
      <c r="D98" t="s">
        <v>368</v>
      </c>
      <c r="E98" t="s">
        <v>43</v>
      </c>
      <c r="F98" t="s">
        <v>369</v>
      </c>
      <c r="G98" s="11">
        <v>1</v>
      </c>
      <c r="H98" s="16">
        <v>75000</v>
      </c>
      <c r="I98" s="16">
        <f>DataClean[Harga_Satuan]*0.6</f>
        <v>45000</v>
      </c>
      <c r="J98" s="16">
        <f>DataClean[Harga_Satuan]-DataClean[Modal]</f>
        <v>30000</v>
      </c>
      <c r="K98" s="16">
        <f>DataClean[[#This Row],[Qty]]*DataClean[[#This Row],[Harga_Satuan]]</f>
        <v>75000</v>
      </c>
      <c r="L98" s="16">
        <f>DataClean[Total_Penjualan]-DataClean[Modal]</f>
        <v>30000</v>
      </c>
      <c r="M98" t="s">
        <v>28</v>
      </c>
      <c r="N98" t="s">
        <v>15</v>
      </c>
      <c r="V98" t="s">
        <v>456</v>
      </c>
      <c r="W98" s="16">
        <f>SUMIF(DataClean[Nama_Toko],V98,DataClean[Total_Penjualan])</f>
        <v>260000</v>
      </c>
    </row>
    <row r="99" spans="1:23" x14ac:dyDescent="0.25">
      <c r="A99" s="2">
        <v>45991</v>
      </c>
      <c r="B99">
        <f>YEAR(DataClean[[#This Row],[Tanggal]])</f>
        <v>2025</v>
      </c>
      <c r="C99" t="s">
        <v>370</v>
      </c>
      <c r="D99" t="s">
        <v>362</v>
      </c>
      <c r="E99" t="s">
        <v>48</v>
      </c>
      <c r="F99" t="s">
        <v>371</v>
      </c>
      <c r="G99" s="11">
        <v>2</v>
      </c>
      <c r="H99" s="16">
        <v>80000</v>
      </c>
      <c r="I99" s="16">
        <f>DataClean[Harga_Satuan]*0.6</f>
        <v>48000</v>
      </c>
      <c r="J99" s="16">
        <f>DataClean[Harga_Satuan]-DataClean[Modal]</f>
        <v>32000</v>
      </c>
      <c r="K99" s="16">
        <f>DataClean[[#This Row],[Qty]]*DataClean[[#This Row],[Harga_Satuan]]</f>
        <v>160000</v>
      </c>
      <c r="L99" s="16">
        <f>DataClean[Total_Penjualan]-DataClean[Modal]</f>
        <v>112000</v>
      </c>
      <c r="M99" t="s">
        <v>39</v>
      </c>
      <c r="N99" t="s">
        <v>29</v>
      </c>
      <c r="V99" t="s">
        <v>394</v>
      </c>
      <c r="W99" s="16">
        <f>SUMIF(DataClean[Nama_Toko],V99,DataClean[Total_Penjualan])</f>
        <v>300000</v>
      </c>
    </row>
    <row r="100" spans="1:23" x14ac:dyDescent="0.25">
      <c r="A100" s="2">
        <v>45752</v>
      </c>
      <c r="B100">
        <f>YEAR(DataClean[[#This Row],[Tanggal]])</f>
        <v>2025</v>
      </c>
      <c r="C100" t="s">
        <v>373</v>
      </c>
      <c r="D100" t="s">
        <v>374</v>
      </c>
      <c r="E100" t="s">
        <v>12</v>
      </c>
      <c r="F100" t="s">
        <v>375</v>
      </c>
      <c r="G100" s="11">
        <v>10</v>
      </c>
      <c r="H100" s="16">
        <v>16000</v>
      </c>
      <c r="I100" s="16">
        <f>DataClean[Harga_Satuan]*0.6</f>
        <v>9600</v>
      </c>
      <c r="J100" s="16">
        <f>DataClean[Harga_Satuan]-DataClean[Modal]</f>
        <v>6400</v>
      </c>
      <c r="K100" s="16">
        <f>DataClean[[#This Row],[Qty]]*DataClean[[#This Row],[Harga_Satuan]]</f>
        <v>160000</v>
      </c>
      <c r="L100" s="16">
        <f>DataClean[Total_Penjualan]-DataClean[Modal]</f>
        <v>150400</v>
      </c>
      <c r="M100" t="s">
        <v>93</v>
      </c>
      <c r="N100" t="s">
        <v>15</v>
      </c>
      <c r="V100" t="s">
        <v>458</v>
      </c>
      <c r="W100" s="16">
        <f>SUMIF(DataClean[Nama_Toko],V100,DataClean[Total_Penjualan])</f>
        <v>340000</v>
      </c>
    </row>
    <row r="101" spans="1:23" x14ac:dyDescent="0.25">
      <c r="A101" s="2">
        <v>45238</v>
      </c>
      <c r="B101">
        <f>YEAR(DataClean[[#This Row],[Tanggal]])</f>
        <v>2023</v>
      </c>
      <c r="C101" t="s">
        <v>377</v>
      </c>
      <c r="D101" t="s">
        <v>161</v>
      </c>
      <c r="E101" t="s">
        <v>19</v>
      </c>
      <c r="F101" t="s">
        <v>378</v>
      </c>
      <c r="G101" s="11">
        <v>4</v>
      </c>
      <c r="H101" s="16">
        <v>18000</v>
      </c>
      <c r="I101" s="16">
        <f>DataClean[Harga_Satuan]*0.6</f>
        <v>10800</v>
      </c>
      <c r="J101" s="16">
        <f>DataClean[Harga_Satuan]-DataClean[Modal]</f>
        <v>7200</v>
      </c>
      <c r="K101" s="16">
        <f>DataClean[[#This Row],[Qty]]*DataClean[[#This Row],[Harga_Satuan]]</f>
        <v>72000</v>
      </c>
      <c r="L101" s="16">
        <f>DataClean[Total_Penjualan]-DataClean[Modal]</f>
        <v>61200</v>
      </c>
      <c r="M101" t="s">
        <v>45</v>
      </c>
      <c r="N101" t="s">
        <v>22</v>
      </c>
      <c r="V101" t="s">
        <v>192</v>
      </c>
      <c r="W101" s="16">
        <f>SUMIF(DataClean[Nama_Toko],V101,DataClean[Total_Penjualan])</f>
        <v>330000</v>
      </c>
    </row>
    <row r="102" spans="1:23" x14ac:dyDescent="0.25">
      <c r="A102" s="2">
        <v>45992</v>
      </c>
      <c r="B102">
        <f>YEAR(DataClean[[#This Row],[Tanggal]])</f>
        <v>2025</v>
      </c>
      <c r="C102" t="s">
        <v>380</v>
      </c>
      <c r="D102" t="s">
        <v>381</v>
      </c>
      <c r="E102" t="s">
        <v>26</v>
      </c>
      <c r="F102" t="s">
        <v>382</v>
      </c>
      <c r="G102" s="11">
        <v>3</v>
      </c>
      <c r="H102" s="16">
        <v>120000</v>
      </c>
      <c r="I102" s="16">
        <f>DataClean[Harga_Satuan]*0.6</f>
        <v>72000</v>
      </c>
      <c r="J102" s="16">
        <f>DataClean[Harga_Satuan]-DataClean[Modal]</f>
        <v>48000</v>
      </c>
      <c r="K102" s="16">
        <f>DataClean[[#This Row],[Qty]]*DataClean[[#This Row],[Harga_Satuan]]</f>
        <v>360000</v>
      </c>
      <c r="L102" s="16">
        <f>DataClean[Total_Penjualan]-DataClean[Modal]</f>
        <v>288000</v>
      </c>
      <c r="M102" t="s">
        <v>71</v>
      </c>
      <c r="N102" t="s">
        <v>29</v>
      </c>
      <c r="V102" t="s">
        <v>466</v>
      </c>
      <c r="W102" s="16">
        <f>SUMIF(DataClean[Nama_Toko],V102,DataClean[Total_Penjualan])</f>
        <v>300000</v>
      </c>
    </row>
    <row r="103" spans="1:23" x14ac:dyDescent="0.25">
      <c r="A103" s="2">
        <v>45939</v>
      </c>
      <c r="B103">
        <f>YEAR(DataClean[[#This Row],[Tanggal]])</f>
        <v>2025</v>
      </c>
      <c r="C103" t="s">
        <v>383</v>
      </c>
      <c r="D103" t="s">
        <v>251</v>
      </c>
      <c r="E103" t="s">
        <v>33</v>
      </c>
      <c r="F103" t="s">
        <v>384</v>
      </c>
      <c r="G103" s="11">
        <v>8</v>
      </c>
      <c r="H103" s="16">
        <v>11000</v>
      </c>
      <c r="I103" s="16">
        <f>DataClean[Harga_Satuan]*0.6</f>
        <v>6600</v>
      </c>
      <c r="J103" s="16">
        <f>DataClean[Harga_Satuan]-DataClean[Modal]</f>
        <v>4400</v>
      </c>
      <c r="K103" s="16">
        <f>DataClean[[#This Row],[Qty]]*DataClean[[#This Row],[Harga_Satuan]]</f>
        <v>88000</v>
      </c>
      <c r="L103" s="16">
        <f>DataClean[Total_Penjualan]-DataClean[Modal]</f>
        <v>81400</v>
      </c>
      <c r="M103" t="s">
        <v>67</v>
      </c>
      <c r="N103" t="s">
        <v>15</v>
      </c>
      <c r="V103" t="s">
        <v>293</v>
      </c>
      <c r="W103" s="16">
        <f>SUMIF(DataClean[Nama_Toko],V103,DataClean[Total_Penjualan])</f>
        <v>250000</v>
      </c>
    </row>
    <row r="104" spans="1:23" x14ac:dyDescent="0.25">
      <c r="A104" s="2">
        <v>45750</v>
      </c>
      <c r="B104">
        <f>YEAR(DataClean[[#This Row],[Tanggal]])</f>
        <v>2025</v>
      </c>
      <c r="C104" t="s">
        <v>386</v>
      </c>
      <c r="D104" t="s">
        <v>387</v>
      </c>
      <c r="E104" t="s">
        <v>12</v>
      </c>
      <c r="F104" t="s">
        <v>388</v>
      </c>
      <c r="G104" s="11">
        <v>5</v>
      </c>
      <c r="H104" s="16">
        <v>28000</v>
      </c>
      <c r="I104" s="16">
        <f>DataClean[Harga_Satuan]*0.6</f>
        <v>16800</v>
      </c>
      <c r="J104" s="16">
        <f>DataClean[Harga_Satuan]-DataClean[Modal]</f>
        <v>11200</v>
      </c>
      <c r="K104" s="16">
        <f>DataClean[[#This Row],[Qty]]*DataClean[[#This Row],[Harga_Satuan]]</f>
        <v>140000</v>
      </c>
      <c r="L104" s="16">
        <f>DataClean[Total_Penjualan]-DataClean[Modal]</f>
        <v>123200</v>
      </c>
      <c r="M104" t="s">
        <v>21</v>
      </c>
      <c r="N104" t="s">
        <v>22</v>
      </c>
      <c r="V104" t="s">
        <v>42</v>
      </c>
      <c r="W104" s="16">
        <f>SUMIF(DataClean[Nama_Toko],V104,DataClean[Total_Penjualan])</f>
        <v>650000</v>
      </c>
    </row>
    <row r="105" spans="1:23" x14ac:dyDescent="0.25">
      <c r="A105" s="2">
        <v>45325</v>
      </c>
      <c r="B105">
        <f>YEAR(DataClean[[#This Row],[Tanggal]])</f>
        <v>2024</v>
      </c>
      <c r="C105" t="s">
        <v>390</v>
      </c>
      <c r="D105" t="s">
        <v>391</v>
      </c>
      <c r="E105" t="s">
        <v>43</v>
      </c>
      <c r="F105" t="s">
        <v>392</v>
      </c>
      <c r="G105" s="11">
        <v>1</v>
      </c>
      <c r="H105" s="16">
        <v>90000</v>
      </c>
      <c r="I105" s="16">
        <f>DataClean[Harga_Satuan]*0.6</f>
        <v>54000</v>
      </c>
      <c r="J105" s="16">
        <f>DataClean[Harga_Satuan]-DataClean[Modal]</f>
        <v>36000</v>
      </c>
      <c r="K105" s="16">
        <f>DataClean[[#This Row],[Qty]]*DataClean[[#This Row],[Harga_Satuan]]</f>
        <v>90000</v>
      </c>
      <c r="L105" s="16">
        <f>DataClean[Total_Penjualan]-DataClean[Modal]</f>
        <v>36000</v>
      </c>
      <c r="M105" t="s">
        <v>53</v>
      </c>
      <c r="N105" t="s">
        <v>15</v>
      </c>
      <c r="V105" t="s">
        <v>391</v>
      </c>
      <c r="W105" s="16">
        <f>SUMIF(DataClean[Nama_Toko],V105,DataClean[Total_Penjualan])</f>
        <v>90000</v>
      </c>
    </row>
    <row r="106" spans="1:23" x14ac:dyDescent="0.25">
      <c r="A106" s="2">
        <v>45054</v>
      </c>
      <c r="B106">
        <f>YEAR(DataClean[[#This Row],[Tanggal]])</f>
        <v>2023</v>
      </c>
      <c r="C106" t="s">
        <v>393</v>
      </c>
      <c r="D106" t="s">
        <v>394</v>
      </c>
      <c r="E106" t="s">
        <v>48</v>
      </c>
      <c r="F106" t="s">
        <v>395</v>
      </c>
      <c r="G106" s="11">
        <v>6</v>
      </c>
      <c r="H106" s="16">
        <v>50000</v>
      </c>
      <c r="I106" s="16">
        <f>DataClean[Harga_Satuan]*0.6</f>
        <v>30000</v>
      </c>
      <c r="J106" s="16">
        <f>DataClean[Harga_Satuan]-DataClean[Modal]</f>
        <v>20000</v>
      </c>
      <c r="K106" s="16">
        <f>DataClean[[#This Row],[Qty]]*DataClean[[#This Row],[Harga_Satuan]]</f>
        <v>300000</v>
      </c>
      <c r="L106" s="16">
        <f>DataClean[Total_Penjualan]-DataClean[Modal]</f>
        <v>270000</v>
      </c>
      <c r="M106" t="s">
        <v>28</v>
      </c>
      <c r="N106" t="s">
        <v>29</v>
      </c>
      <c r="V106" t="s">
        <v>478</v>
      </c>
      <c r="W106" s="16">
        <f>SUMIF(DataClean[Nama_Toko],V106,DataClean[Total_Penjualan])</f>
        <v>500000</v>
      </c>
    </row>
    <row r="107" spans="1:23" x14ac:dyDescent="0.25">
      <c r="A107" s="2">
        <v>45889</v>
      </c>
      <c r="B107">
        <f>YEAR(DataClean[[#This Row],[Tanggal]])</f>
        <v>2025</v>
      </c>
      <c r="C107" t="s">
        <v>397</v>
      </c>
      <c r="D107" t="s">
        <v>398</v>
      </c>
      <c r="E107" t="s">
        <v>12</v>
      </c>
      <c r="F107" t="s">
        <v>399</v>
      </c>
      <c r="G107" s="11">
        <v>2</v>
      </c>
      <c r="H107" s="16">
        <v>85000</v>
      </c>
      <c r="I107" s="16">
        <f>DataClean[Harga_Satuan]*0.6</f>
        <v>51000</v>
      </c>
      <c r="J107" s="16">
        <f>DataClean[Harga_Satuan]-DataClean[Modal]</f>
        <v>34000</v>
      </c>
      <c r="K107" s="16">
        <f>DataClean[[#This Row],[Qty]]*DataClean[[#This Row],[Harga_Satuan]]</f>
        <v>170000</v>
      </c>
      <c r="L107" s="16">
        <f>DataClean[Total_Penjualan]-DataClean[Modal]</f>
        <v>119000</v>
      </c>
      <c r="M107" t="s">
        <v>59</v>
      </c>
      <c r="N107" t="s">
        <v>15</v>
      </c>
      <c r="V107" t="s">
        <v>481</v>
      </c>
      <c r="W107" s="16">
        <f>SUMIF(DataClean[Nama_Toko],V107,DataClean[Total_Penjualan])</f>
        <v>270000</v>
      </c>
    </row>
    <row r="108" spans="1:23" x14ac:dyDescent="0.25">
      <c r="A108" s="2">
        <v>45536</v>
      </c>
      <c r="B108">
        <f>YEAR(DataClean[[#This Row],[Tanggal]])</f>
        <v>2024</v>
      </c>
      <c r="C108" t="s">
        <v>401</v>
      </c>
      <c r="D108" t="s">
        <v>235</v>
      </c>
      <c r="E108" t="s">
        <v>19</v>
      </c>
      <c r="F108" t="s">
        <v>402</v>
      </c>
      <c r="G108" s="11">
        <v>1</v>
      </c>
      <c r="H108" s="16">
        <v>150000</v>
      </c>
      <c r="I108" s="16">
        <f>DataClean[Harga_Satuan]*0.6</f>
        <v>90000</v>
      </c>
      <c r="J108" s="16">
        <f>DataClean[Harga_Satuan]-DataClean[Modal]</f>
        <v>60000</v>
      </c>
      <c r="K108" s="16">
        <f>DataClean[[#This Row],[Qty]]*DataClean[[#This Row],[Harga_Satuan]]</f>
        <v>150000</v>
      </c>
      <c r="L108" s="16">
        <f>DataClean[Total_Penjualan]-DataClean[Modal]</f>
        <v>60000</v>
      </c>
      <c r="M108" t="s">
        <v>14</v>
      </c>
      <c r="N108" t="s">
        <v>22</v>
      </c>
      <c r="V108" t="s">
        <v>485</v>
      </c>
      <c r="W108" s="16">
        <f>SUMIF(DataClean[Nama_Toko],V108,DataClean[Total_Penjualan])</f>
        <v>600000</v>
      </c>
    </row>
    <row r="109" spans="1:23" x14ac:dyDescent="0.25">
      <c r="A109" s="2">
        <v>45478</v>
      </c>
      <c r="B109">
        <f>YEAR(DataClean[[#This Row],[Tanggal]])</f>
        <v>2024</v>
      </c>
      <c r="C109" t="s">
        <v>403</v>
      </c>
      <c r="D109" t="s">
        <v>404</v>
      </c>
      <c r="E109" t="s">
        <v>26</v>
      </c>
      <c r="F109" t="s">
        <v>405</v>
      </c>
      <c r="G109" s="11">
        <v>3</v>
      </c>
      <c r="H109" s="16">
        <v>80000</v>
      </c>
      <c r="I109" s="16">
        <f>DataClean[Harga_Satuan]*0.6</f>
        <v>48000</v>
      </c>
      <c r="J109" s="16">
        <f>DataClean[Harga_Satuan]-DataClean[Modal]</f>
        <v>32000</v>
      </c>
      <c r="K109" s="16">
        <f>DataClean[[#This Row],[Qty]]*DataClean[[#This Row],[Harga_Satuan]]</f>
        <v>240000</v>
      </c>
      <c r="L109" s="16">
        <f>DataClean[Total_Penjualan]-DataClean[Modal]</f>
        <v>192000</v>
      </c>
      <c r="M109" t="s">
        <v>45</v>
      </c>
      <c r="N109" t="s">
        <v>29</v>
      </c>
      <c r="V109" t="s">
        <v>113</v>
      </c>
      <c r="W109" s="16">
        <f>SUMIF(DataClean[Nama_Toko],V109,DataClean[Total_Penjualan])</f>
        <v>725000</v>
      </c>
    </row>
    <row r="110" spans="1:23" x14ac:dyDescent="0.25">
      <c r="A110" s="2">
        <v>45089</v>
      </c>
      <c r="B110">
        <f>YEAR(DataClean[[#This Row],[Tanggal]])</f>
        <v>2023</v>
      </c>
      <c r="C110" t="s">
        <v>407</v>
      </c>
      <c r="D110" t="s">
        <v>342</v>
      </c>
      <c r="E110" t="s">
        <v>33</v>
      </c>
      <c r="F110" t="s">
        <v>408</v>
      </c>
      <c r="G110" s="11">
        <v>1</v>
      </c>
      <c r="H110" s="16">
        <v>95000</v>
      </c>
      <c r="I110" s="16">
        <f>DataClean[Harga_Satuan]*0.6</f>
        <v>57000</v>
      </c>
      <c r="J110" s="16">
        <f>DataClean[Harga_Satuan]-DataClean[Modal]</f>
        <v>38000</v>
      </c>
      <c r="K110" s="16">
        <f>DataClean[[#This Row],[Qty]]*DataClean[[#This Row],[Harga_Satuan]]</f>
        <v>95000</v>
      </c>
      <c r="L110" s="16">
        <f>DataClean[Total_Penjualan]-DataClean[Modal]</f>
        <v>38000</v>
      </c>
      <c r="M110" t="s">
        <v>71</v>
      </c>
      <c r="N110" t="s">
        <v>15</v>
      </c>
      <c r="V110" t="s">
        <v>344</v>
      </c>
      <c r="W110" s="16">
        <f>SUMIF(DataClean[Nama_Toko],V110,DataClean[Total_Penjualan])</f>
        <v>520000</v>
      </c>
    </row>
    <row r="111" spans="1:23" x14ac:dyDescent="0.25">
      <c r="A111" s="2">
        <v>45998</v>
      </c>
      <c r="B111">
        <f>YEAR(DataClean[[#This Row],[Tanggal]])</f>
        <v>2025</v>
      </c>
      <c r="C111" t="s">
        <v>409</v>
      </c>
      <c r="D111" t="s">
        <v>410</v>
      </c>
      <c r="E111" t="s">
        <v>12</v>
      </c>
      <c r="F111" t="s">
        <v>411</v>
      </c>
      <c r="G111" s="11">
        <v>4</v>
      </c>
      <c r="H111" s="16">
        <v>21000</v>
      </c>
      <c r="I111" s="16">
        <f>DataClean[Harga_Satuan]*0.6</f>
        <v>12600</v>
      </c>
      <c r="J111" s="16">
        <f>DataClean[Harga_Satuan]-DataClean[Modal]</f>
        <v>8400</v>
      </c>
      <c r="K111" s="16">
        <f>DataClean[[#This Row],[Qty]]*DataClean[[#This Row],[Harga_Satuan]]</f>
        <v>84000</v>
      </c>
      <c r="L111" s="16">
        <f>DataClean[Total_Penjualan]-DataClean[Modal]</f>
        <v>71400</v>
      </c>
      <c r="M111" t="s">
        <v>67</v>
      </c>
      <c r="N111" t="s">
        <v>22</v>
      </c>
      <c r="V111" t="s">
        <v>476</v>
      </c>
      <c r="W111" s="16">
        <f>SUMIF(DataClean[Nama_Toko],V111,DataClean[Total_Penjualan])</f>
        <v>750000</v>
      </c>
    </row>
    <row r="112" spans="1:23" x14ac:dyDescent="0.25">
      <c r="A112" s="2">
        <v>45822</v>
      </c>
      <c r="B112">
        <f>YEAR(DataClean[[#This Row],[Tanggal]])</f>
        <v>2025</v>
      </c>
      <c r="C112" t="s">
        <v>413</v>
      </c>
      <c r="D112" t="s">
        <v>414</v>
      </c>
      <c r="E112" t="s">
        <v>43</v>
      </c>
      <c r="F112" t="s">
        <v>415</v>
      </c>
      <c r="G112" s="11">
        <v>5</v>
      </c>
      <c r="H112" s="16">
        <v>65000</v>
      </c>
      <c r="I112" s="16">
        <f>DataClean[Harga_Satuan]*0.6</f>
        <v>39000</v>
      </c>
      <c r="J112" s="16">
        <f>DataClean[Harga_Satuan]-DataClean[Modal]</f>
        <v>26000</v>
      </c>
      <c r="K112" s="16">
        <f>DataClean[[#This Row],[Qty]]*DataClean[[#This Row],[Harga_Satuan]]</f>
        <v>325000</v>
      </c>
      <c r="L112" s="16">
        <f>DataClean[Total_Penjualan]-DataClean[Modal]</f>
        <v>286000</v>
      </c>
      <c r="M112" t="s">
        <v>21</v>
      </c>
      <c r="N112" t="s">
        <v>15</v>
      </c>
      <c r="V112" t="s">
        <v>496</v>
      </c>
      <c r="W112" s="16">
        <f>SUMIF(DataClean[Nama_Toko],V112,DataClean[Total_Penjualan])</f>
        <v>600000</v>
      </c>
    </row>
    <row r="113" spans="1:23" x14ac:dyDescent="0.25">
      <c r="A113" s="2">
        <v>45265</v>
      </c>
      <c r="B113">
        <f>YEAR(DataClean[[#This Row],[Tanggal]])</f>
        <v>2023</v>
      </c>
      <c r="C113" t="s">
        <v>417</v>
      </c>
      <c r="D113" t="s">
        <v>418</v>
      </c>
      <c r="E113" t="s">
        <v>48</v>
      </c>
      <c r="F113" t="s">
        <v>419</v>
      </c>
      <c r="G113" s="11">
        <v>2</v>
      </c>
      <c r="H113" s="16">
        <v>110000</v>
      </c>
      <c r="I113" s="16">
        <f>DataClean[Harga_Satuan]*0.6</f>
        <v>66000</v>
      </c>
      <c r="J113" s="16">
        <f>DataClean[Harga_Satuan]-DataClean[Modal]</f>
        <v>44000</v>
      </c>
      <c r="K113" s="16">
        <f>DataClean[[#This Row],[Qty]]*DataClean[[#This Row],[Harga_Satuan]]</f>
        <v>220000</v>
      </c>
      <c r="L113" s="16">
        <f>DataClean[Total_Penjualan]-DataClean[Modal]</f>
        <v>154000</v>
      </c>
      <c r="M113" t="s">
        <v>53</v>
      </c>
      <c r="N113" t="s">
        <v>29</v>
      </c>
      <c r="V113" t="s">
        <v>91</v>
      </c>
      <c r="W113" s="16">
        <f>SUMIF(DataClean[Nama_Toko],V113,DataClean[Total_Penjualan])</f>
        <v>585000</v>
      </c>
    </row>
    <row r="114" spans="1:23" x14ac:dyDescent="0.25">
      <c r="A114" s="2">
        <v>45831</v>
      </c>
      <c r="B114">
        <f>YEAR(DataClean[[#This Row],[Tanggal]])</f>
        <v>2025</v>
      </c>
      <c r="C114" t="s">
        <v>421</v>
      </c>
      <c r="D114" t="s">
        <v>422</v>
      </c>
      <c r="E114" t="s">
        <v>12</v>
      </c>
      <c r="F114" t="s">
        <v>423</v>
      </c>
      <c r="G114" s="11">
        <v>10</v>
      </c>
      <c r="H114" s="16">
        <v>15000</v>
      </c>
      <c r="I114" s="16">
        <f>DataClean[Harga_Satuan]*0.6</f>
        <v>9000</v>
      </c>
      <c r="J114" s="16">
        <f>DataClean[Harga_Satuan]-DataClean[Modal]</f>
        <v>6000</v>
      </c>
      <c r="K114" s="16">
        <f>DataClean[[#This Row],[Qty]]*DataClean[[#This Row],[Harga_Satuan]]</f>
        <v>150000</v>
      </c>
      <c r="L114" s="16">
        <f>DataClean[Total_Penjualan]-DataClean[Modal]</f>
        <v>141000</v>
      </c>
      <c r="M114" t="s">
        <v>28</v>
      </c>
      <c r="N114" t="s">
        <v>15</v>
      </c>
      <c r="V114" t="s">
        <v>502</v>
      </c>
      <c r="W114" s="16">
        <f>SUMIF(DataClean[Nama_Toko],V114,DataClean[Total_Penjualan])</f>
        <v>300000</v>
      </c>
    </row>
    <row r="115" spans="1:23" x14ac:dyDescent="0.25">
      <c r="A115" s="2">
        <v>44989</v>
      </c>
      <c r="B115">
        <f>YEAR(DataClean[[#This Row],[Tanggal]])</f>
        <v>2023</v>
      </c>
      <c r="C115" t="s">
        <v>424</v>
      </c>
      <c r="D115" t="s">
        <v>131</v>
      </c>
      <c r="E115" t="s">
        <v>19</v>
      </c>
      <c r="F115" t="s">
        <v>425</v>
      </c>
      <c r="G115" s="11">
        <v>1</v>
      </c>
      <c r="H115" s="16">
        <v>20000</v>
      </c>
      <c r="I115" s="16">
        <f>DataClean[Harga_Satuan]*0.6</f>
        <v>12000</v>
      </c>
      <c r="J115" s="16">
        <f>DataClean[Harga_Satuan]-DataClean[Modal]</f>
        <v>8000</v>
      </c>
      <c r="K115" s="16">
        <f>DataClean[[#This Row],[Qty]]*DataClean[[#This Row],[Harga_Satuan]]</f>
        <v>20000</v>
      </c>
      <c r="L115" s="16">
        <f>DataClean[Total_Penjualan]-DataClean[Modal]</f>
        <v>8000</v>
      </c>
      <c r="M115" t="s">
        <v>39</v>
      </c>
      <c r="N115" t="s">
        <v>22</v>
      </c>
      <c r="V115" t="s">
        <v>506</v>
      </c>
      <c r="W115" s="16">
        <f>SUMIF(DataClean[Nama_Toko],V115,DataClean[Total_Penjualan])</f>
        <v>320000</v>
      </c>
    </row>
    <row r="116" spans="1:23" x14ac:dyDescent="0.25">
      <c r="A116" s="2">
        <v>45905</v>
      </c>
      <c r="B116">
        <f>YEAR(DataClean[[#This Row],[Tanggal]])</f>
        <v>2025</v>
      </c>
      <c r="C116" t="s">
        <v>426</v>
      </c>
      <c r="D116" t="s">
        <v>427</v>
      </c>
      <c r="E116" t="s">
        <v>26</v>
      </c>
      <c r="F116" t="s">
        <v>428</v>
      </c>
      <c r="G116" s="11">
        <v>1</v>
      </c>
      <c r="H116" s="16">
        <v>50000</v>
      </c>
      <c r="I116" s="16">
        <f>DataClean[Harga_Satuan]*0.6</f>
        <v>30000</v>
      </c>
      <c r="J116" s="16">
        <f>DataClean[Harga_Satuan]-DataClean[Modal]</f>
        <v>20000</v>
      </c>
      <c r="K116" s="16">
        <f>DataClean[[#This Row],[Qty]]*DataClean[[#This Row],[Harga_Satuan]]</f>
        <v>50000</v>
      </c>
      <c r="L116" s="16">
        <f>DataClean[Total_Penjualan]-DataClean[Modal]</f>
        <v>20000</v>
      </c>
      <c r="M116" t="s">
        <v>93</v>
      </c>
      <c r="N116" t="s">
        <v>29</v>
      </c>
      <c r="V116" t="s">
        <v>509</v>
      </c>
      <c r="W116" s="16">
        <f>SUMIF(DataClean[Nama_Toko],V116,DataClean[Total_Penjualan])</f>
        <v>360000</v>
      </c>
    </row>
    <row r="117" spans="1:23" x14ac:dyDescent="0.25">
      <c r="A117" s="2">
        <v>45381</v>
      </c>
      <c r="B117">
        <f>YEAR(DataClean[[#This Row],[Tanggal]])</f>
        <v>2024</v>
      </c>
      <c r="C117" t="s">
        <v>429</v>
      </c>
      <c r="D117" t="s">
        <v>353</v>
      </c>
      <c r="E117" t="s">
        <v>33</v>
      </c>
      <c r="F117" t="s">
        <v>430</v>
      </c>
      <c r="G117" s="11">
        <v>15</v>
      </c>
      <c r="H117" s="16">
        <v>8000</v>
      </c>
      <c r="I117" s="16">
        <f>DataClean[Harga_Satuan]*0.6</f>
        <v>4800</v>
      </c>
      <c r="J117" s="16">
        <f>DataClean[Harga_Satuan]-DataClean[Modal]</f>
        <v>3200</v>
      </c>
      <c r="K117" s="16">
        <f>DataClean[[#This Row],[Qty]]*DataClean[[#This Row],[Harga_Satuan]]</f>
        <v>120000</v>
      </c>
      <c r="L117" s="16">
        <f>DataClean[Total_Penjualan]-DataClean[Modal]</f>
        <v>115200</v>
      </c>
      <c r="M117" t="s">
        <v>45</v>
      </c>
      <c r="N117" t="s">
        <v>15</v>
      </c>
      <c r="V117" t="s">
        <v>513</v>
      </c>
      <c r="W117" s="16">
        <f>SUMIF(DataClean[Nama_Toko],V117,DataClean[Total_Penjualan])</f>
        <v>420000</v>
      </c>
    </row>
    <row r="118" spans="1:23" x14ac:dyDescent="0.25">
      <c r="A118" s="2">
        <v>45046</v>
      </c>
      <c r="B118">
        <f>YEAR(DataClean[[#This Row],[Tanggal]])</f>
        <v>2023</v>
      </c>
      <c r="C118" t="s">
        <v>431</v>
      </c>
      <c r="D118" t="s">
        <v>432</v>
      </c>
      <c r="E118" t="s">
        <v>12</v>
      </c>
      <c r="F118" t="s">
        <v>433</v>
      </c>
      <c r="G118" s="11">
        <v>6</v>
      </c>
      <c r="H118" s="16">
        <v>24000</v>
      </c>
      <c r="I118" s="16">
        <f>DataClean[Harga_Satuan]*0.6</f>
        <v>14400</v>
      </c>
      <c r="J118" s="16">
        <f>DataClean[Harga_Satuan]-DataClean[Modal]</f>
        <v>9600</v>
      </c>
      <c r="K118" s="16">
        <f>DataClean[[#This Row],[Qty]]*DataClean[[#This Row],[Harga_Satuan]]</f>
        <v>144000</v>
      </c>
      <c r="L118" s="16">
        <f>DataClean[Total_Penjualan]-DataClean[Modal]</f>
        <v>129600</v>
      </c>
      <c r="M118" t="s">
        <v>71</v>
      </c>
      <c r="N118" t="s">
        <v>22</v>
      </c>
      <c r="V118" t="s">
        <v>414</v>
      </c>
      <c r="W118" s="16">
        <f>SUMIF(DataClean[Nama_Toko],V118,DataClean[Total_Penjualan])</f>
        <v>325000</v>
      </c>
    </row>
    <row r="119" spans="1:23" x14ac:dyDescent="0.25">
      <c r="A119" s="2">
        <v>45534</v>
      </c>
      <c r="B119">
        <f>YEAR(DataClean[[#This Row],[Tanggal]])</f>
        <v>2024</v>
      </c>
      <c r="C119" t="s">
        <v>435</v>
      </c>
      <c r="D119" t="s">
        <v>436</v>
      </c>
      <c r="E119" t="s">
        <v>43</v>
      </c>
      <c r="F119" t="s">
        <v>437</v>
      </c>
      <c r="G119" s="11">
        <v>2</v>
      </c>
      <c r="H119" s="16">
        <v>180000</v>
      </c>
      <c r="I119" s="16">
        <f>DataClean[Harga_Satuan]*0.6</f>
        <v>108000</v>
      </c>
      <c r="J119" s="16">
        <f>DataClean[Harga_Satuan]-DataClean[Modal]</f>
        <v>72000</v>
      </c>
      <c r="K119" s="16">
        <f>DataClean[[#This Row],[Qty]]*DataClean[[#This Row],[Harga_Satuan]]</f>
        <v>360000</v>
      </c>
      <c r="L119" s="16">
        <f>DataClean[Total_Penjualan]-DataClean[Modal]</f>
        <v>252000</v>
      </c>
      <c r="M119" t="s">
        <v>67</v>
      </c>
      <c r="N119" t="s">
        <v>15</v>
      </c>
      <c r="V119" t="s">
        <v>69</v>
      </c>
      <c r="W119" s="16">
        <f>SUMIF(DataClean[Nama_Toko],V119,DataClean[Total_Penjualan])</f>
        <v>350000</v>
      </c>
    </row>
    <row r="120" spans="1:23" x14ac:dyDescent="0.25">
      <c r="A120" s="2">
        <v>45823</v>
      </c>
      <c r="B120">
        <f>YEAR(DataClean[[#This Row],[Tanggal]])</f>
        <v>2025</v>
      </c>
      <c r="C120" t="s">
        <v>438</v>
      </c>
      <c r="D120" t="s">
        <v>400</v>
      </c>
      <c r="E120" t="s">
        <v>48</v>
      </c>
      <c r="F120" t="s">
        <v>439</v>
      </c>
      <c r="G120" s="11">
        <v>1</v>
      </c>
      <c r="H120" s="16">
        <v>450000</v>
      </c>
      <c r="I120" s="16">
        <f>DataClean[Harga_Satuan]*0.6</f>
        <v>270000</v>
      </c>
      <c r="J120" s="16">
        <f>DataClean[Harga_Satuan]-DataClean[Modal]</f>
        <v>180000</v>
      </c>
      <c r="K120" s="16">
        <f>DataClean[[#This Row],[Qty]]*DataClean[[#This Row],[Harga_Satuan]]</f>
        <v>450000</v>
      </c>
      <c r="L120" s="16">
        <f>DataClean[Total_Penjualan]-DataClean[Modal]</f>
        <v>180000</v>
      </c>
      <c r="M120" t="s">
        <v>21</v>
      </c>
      <c r="N120" t="s">
        <v>29</v>
      </c>
      <c r="V120" t="s">
        <v>521</v>
      </c>
      <c r="W120" s="16">
        <f>SUMIF(DataClean[Nama_Toko],V120,DataClean[Total_Penjualan])</f>
        <v>640000</v>
      </c>
    </row>
    <row r="121" spans="1:23" x14ac:dyDescent="0.25">
      <c r="A121" s="2">
        <v>45924</v>
      </c>
      <c r="B121">
        <f>YEAR(DataClean[[#This Row],[Tanggal]])</f>
        <v>2025</v>
      </c>
      <c r="C121" t="s">
        <v>441</v>
      </c>
      <c r="D121" t="s">
        <v>442</v>
      </c>
      <c r="E121" t="s">
        <v>12</v>
      </c>
      <c r="F121" t="s">
        <v>443</v>
      </c>
      <c r="G121" s="11">
        <v>5</v>
      </c>
      <c r="H121" s="16">
        <v>19000</v>
      </c>
      <c r="I121" s="16">
        <f>DataClean[Harga_Satuan]*0.6</f>
        <v>11400</v>
      </c>
      <c r="J121" s="16">
        <f>DataClean[Harga_Satuan]-DataClean[Modal]</f>
        <v>7600</v>
      </c>
      <c r="K121" s="16">
        <f>DataClean[[#This Row],[Qty]]*DataClean[[#This Row],[Harga_Satuan]]</f>
        <v>95000</v>
      </c>
      <c r="L121" s="16">
        <f>DataClean[Total_Penjualan]-DataClean[Modal]</f>
        <v>83600</v>
      </c>
      <c r="M121" t="s">
        <v>53</v>
      </c>
      <c r="N121" t="s">
        <v>15</v>
      </c>
      <c r="V121" t="s">
        <v>245</v>
      </c>
      <c r="W121" s="16">
        <f>SUMIF(DataClean[Nama_Toko],V121,DataClean[Total_Penjualan])</f>
        <v>730000</v>
      </c>
    </row>
    <row r="122" spans="1:23" x14ac:dyDescent="0.25">
      <c r="A122" s="2">
        <v>45695</v>
      </c>
      <c r="B122">
        <f>YEAR(DataClean[[#This Row],[Tanggal]])</f>
        <v>2025</v>
      </c>
      <c r="C122" t="s">
        <v>444</v>
      </c>
      <c r="D122" t="s">
        <v>153</v>
      </c>
      <c r="E122" t="s">
        <v>19</v>
      </c>
      <c r="F122" t="s">
        <v>445</v>
      </c>
      <c r="G122" s="11">
        <v>8</v>
      </c>
      <c r="H122" s="16">
        <v>15000</v>
      </c>
      <c r="I122" s="16">
        <f>DataClean[Harga_Satuan]*0.6</f>
        <v>9000</v>
      </c>
      <c r="J122" s="16">
        <f>DataClean[Harga_Satuan]-DataClean[Modal]</f>
        <v>6000</v>
      </c>
      <c r="K122" s="16">
        <f>DataClean[[#This Row],[Qty]]*DataClean[[#This Row],[Harga_Satuan]]</f>
        <v>120000</v>
      </c>
      <c r="L122" s="16">
        <f>DataClean[Total_Penjualan]-DataClean[Modal]</f>
        <v>111000</v>
      </c>
      <c r="M122" t="s">
        <v>28</v>
      </c>
      <c r="N122" t="s">
        <v>22</v>
      </c>
      <c r="V122" t="s">
        <v>498</v>
      </c>
      <c r="W122" s="16">
        <f>SUMIF(DataClean[Nama_Toko],V122,DataClean[Total_Penjualan])</f>
        <v>180000</v>
      </c>
    </row>
    <row r="123" spans="1:23" x14ac:dyDescent="0.25">
      <c r="A123" s="2">
        <v>46020</v>
      </c>
      <c r="B123">
        <f>YEAR(DataClean[[#This Row],[Tanggal]])</f>
        <v>2025</v>
      </c>
      <c r="C123" t="s">
        <v>447</v>
      </c>
      <c r="D123" t="s">
        <v>448</v>
      </c>
      <c r="E123" t="s">
        <v>26</v>
      </c>
      <c r="F123" t="s">
        <v>449</v>
      </c>
      <c r="G123" s="11">
        <v>1</v>
      </c>
      <c r="H123" s="16">
        <v>100000</v>
      </c>
      <c r="I123" s="16">
        <f>DataClean[Harga_Satuan]*0.6</f>
        <v>60000</v>
      </c>
      <c r="J123" s="16">
        <f>DataClean[Harga_Satuan]-DataClean[Modal]</f>
        <v>40000</v>
      </c>
      <c r="K123" s="16">
        <f>DataClean[[#This Row],[Qty]]*DataClean[[#This Row],[Harga_Satuan]]</f>
        <v>100000</v>
      </c>
      <c r="L123" s="16">
        <f>DataClean[Total_Penjualan]-DataClean[Modal]</f>
        <v>40000</v>
      </c>
      <c r="M123" t="s">
        <v>59</v>
      </c>
      <c r="N123" t="s">
        <v>29</v>
      </c>
      <c r="V123" t="s">
        <v>368</v>
      </c>
      <c r="W123" s="16">
        <f>SUMIF(DataClean[Nama_Toko],V123,DataClean[Total_Penjualan])</f>
        <v>75000</v>
      </c>
    </row>
    <row r="124" spans="1:23" x14ac:dyDescent="0.25">
      <c r="A124" s="2">
        <v>45615</v>
      </c>
      <c r="B124">
        <f>YEAR(DataClean[[#This Row],[Tanggal]])</f>
        <v>2024</v>
      </c>
      <c r="C124" t="s">
        <v>451</v>
      </c>
      <c r="D124" t="s">
        <v>335</v>
      </c>
      <c r="E124" t="s">
        <v>33</v>
      </c>
      <c r="F124" t="s">
        <v>452</v>
      </c>
      <c r="G124" s="11">
        <v>2</v>
      </c>
      <c r="H124" s="16">
        <v>70000</v>
      </c>
      <c r="I124" s="16">
        <f>DataClean[Harga_Satuan]*0.6</f>
        <v>42000</v>
      </c>
      <c r="J124" s="16">
        <f>DataClean[Harga_Satuan]-DataClean[Modal]</f>
        <v>28000</v>
      </c>
      <c r="K124" s="16">
        <f>DataClean[[#This Row],[Qty]]*DataClean[[#This Row],[Harga_Satuan]]</f>
        <v>140000</v>
      </c>
      <c r="L124" s="16">
        <f>DataClean[Total_Penjualan]-DataClean[Modal]</f>
        <v>98000</v>
      </c>
      <c r="M124" t="s">
        <v>14</v>
      </c>
      <c r="N124" t="s">
        <v>15</v>
      </c>
      <c r="V124" t="s">
        <v>436</v>
      </c>
      <c r="W124" s="16">
        <f>SUMIF(DataClean[Nama_Toko],V124,DataClean[Total_Penjualan])</f>
        <v>740000</v>
      </c>
    </row>
    <row r="125" spans="1:23" x14ac:dyDescent="0.25">
      <c r="A125" s="2">
        <v>45026</v>
      </c>
      <c r="B125">
        <f>YEAR(DataClean[[#This Row],[Tanggal]])</f>
        <v>2023</v>
      </c>
      <c r="C125" t="s">
        <v>453</v>
      </c>
      <c r="D125" t="s">
        <v>454</v>
      </c>
      <c r="E125" t="s">
        <v>12</v>
      </c>
      <c r="F125" t="s">
        <v>455</v>
      </c>
      <c r="G125" s="11">
        <v>3</v>
      </c>
      <c r="H125" s="16">
        <v>25000</v>
      </c>
      <c r="I125" s="16">
        <f>DataClean[Harga_Satuan]*0.6</f>
        <v>15000</v>
      </c>
      <c r="J125" s="16">
        <f>DataClean[Harga_Satuan]-DataClean[Modal]</f>
        <v>10000</v>
      </c>
      <c r="K125" s="16">
        <f>DataClean[[#This Row],[Qty]]*DataClean[[#This Row],[Harga_Satuan]]</f>
        <v>75000</v>
      </c>
      <c r="L125" s="16">
        <f>DataClean[Total_Penjualan]-DataClean[Modal]</f>
        <v>60000</v>
      </c>
      <c r="M125" t="s">
        <v>45</v>
      </c>
      <c r="N125" t="s">
        <v>22</v>
      </c>
      <c r="V125" t="s">
        <v>141</v>
      </c>
      <c r="W125" s="16">
        <f>SUMIF(DataClean[Nama_Toko],V125,DataClean[Total_Penjualan])</f>
        <v>480000</v>
      </c>
    </row>
    <row r="126" spans="1:23" x14ac:dyDescent="0.25">
      <c r="A126" s="2">
        <v>45546</v>
      </c>
      <c r="B126">
        <f>YEAR(DataClean[[#This Row],[Tanggal]])</f>
        <v>2024</v>
      </c>
      <c r="C126" t="s">
        <v>457</v>
      </c>
      <c r="D126" t="s">
        <v>458</v>
      </c>
      <c r="E126" t="s">
        <v>43</v>
      </c>
      <c r="F126" t="s">
        <v>459</v>
      </c>
      <c r="G126" s="11">
        <v>4</v>
      </c>
      <c r="H126" s="16">
        <v>85000</v>
      </c>
      <c r="I126" s="16">
        <f>DataClean[Harga_Satuan]*0.6</f>
        <v>51000</v>
      </c>
      <c r="J126" s="16">
        <f>DataClean[Harga_Satuan]-DataClean[Modal]</f>
        <v>34000</v>
      </c>
      <c r="K126" s="16">
        <f>DataClean[[#This Row],[Qty]]*DataClean[[#This Row],[Harga_Satuan]]</f>
        <v>340000</v>
      </c>
      <c r="L126" s="16">
        <f>DataClean[Total_Penjualan]-DataClean[Modal]</f>
        <v>289000</v>
      </c>
      <c r="M126" t="s">
        <v>71</v>
      </c>
      <c r="N126" t="s">
        <v>15</v>
      </c>
      <c r="V126" t="s">
        <v>537</v>
      </c>
      <c r="W126" s="16">
        <f>SUMIF(DataClean[Nama_Toko],V126,DataClean[Total_Penjualan])</f>
        <v>210000</v>
      </c>
    </row>
    <row r="127" spans="1:23" x14ac:dyDescent="0.25">
      <c r="A127" s="2">
        <v>45355</v>
      </c>
      <c r="B127">
        <f>YEAR(DataClean[[#This Row],[Tanggal]])</f>
        <v>2024</v>
      </c>
      <c r="C127" t="s">
        <v>460</v>
      </c>
      <c r="D127" t="s">
        <v>366</v>
      </c>
      <c r="E127" t="s">
        <v>48</v>
      </c>
      <c r="F127" t="s">
        <v>461</v>
      </c>
      <c r="G127" s="11">
        <v>10</v>
      </c>
      <c r="H127" s="16">
        <v>25000</v>
      </c>
      <c r="I127" s="16">
        <f>DataClean[Harga_Satuan]*0.6</f>
        <v>15000</v>
      </c>
      <c r="J127" s="16">
        <f>DataClean[Harga_Satuan]-DataClean[Modal]</f>
        <v>10000</v>
      </c>
      <c r="K127" s="16">
        <f>DataClean[[#This Row],[Qty]]*DataClean[[#This Row],[Harga_Satuan]]</f>
        <v>250000</v>
      </c>
      <c r="L127" s="16">
        <f>DataClean[Total_Penjualan]-DataClean[Modal]</f>
        <v>235000</v>
      </c>
      <c r="M127" t="s">
        <v>67</v>
      </c>
      <c r="N127" t="s">
        <v>29</v>
      </c>
      <c r="V127" t="s">
        <v>218</v>
      </c>
      <c r="W127" s="16">
        <f>SUMIF(DataClean[Nama_Toko],V127,DataClean[Total_Penjualan])</f>
        <v>525000</v>
      </c>
    </row>
    <row r="128" spans="1:23" x14ac:dyDescent="0.25">
      <c r="A128" s="2">
        <v>45605</v>
      </c>
      <c r="B128">
        <f>YEAR(DataClean[[#This Row],[Tanggal]])</f>
        <v>2024</v>
      </c>
      <c r="C128" t="s">
        <v>462</v>
      </c>
      <c r="D128" t="s">
        <v>214</v>
      </c>
      <c r="E128" t="s">
        <v>12</v>
      </c>
      <c r="F128" t="s">
        <v>463</v>
      </c>
      <c r="G128" s="11">
        <v>1</v>
      </c>
      <c r="H128" s="16">
        <v>30000</v>
      </c>
      <c r="I128" s="16">
        <f>DataClean[Harga_Satuan]*0.6</f>
        <v>18000</v>
      </c>
      <c r="J128" s="16">
        <f>DataClean[Harga_Satuan]-DataClean[Modal]</f>
        <v>12000</v>
      </c>
      <c r="K128" s="16">
        <f>DataClean[[#This Row],[Qty]]*DataClean[[#This Row],[Harga_Satuan]]</f>
        <v>30000</v>
      </c>
      <c r="L128" s="16">
        <f>DataClean[Total_Penjualan]-DataClean[Modal]</f>
        <v>12000</v>
      </c>
      <c r="M128" t="s">
        <v>21</v>
      </c>
      <c r="N128" t="s">
        <v>15</v>
      </c>
      <c r="V128" t="s">
        <v>270</v>
      </c>
      <c r="W128" s="16">
        <f>SUMIF(DataClean[Nama_Toko],V128,DataClean[Total_Penjualan])</f>
        <v>180000</v>
      </c>
    </row>
    <row r="129" spans="1:23" x14ac:dyDescent="0.25">
      <c r="A129" s="2">
        <v>46014</v>
      </c>
      <c r="B129">
        <f>YEAR(DataClean[[#This Row],[Tanggal]])</f>
        <v>2025</v>
      </c>
      <c r="C129" t="s">
        <v>464</v>
      </c>
      <c r="D129" t="s">
        <v>172</v>
      </c>
      <c r="E129" t="s">
        <v>19</v>
      </c>
      <c r="F129" t="s">
        <v>465</v>
      </c>
      <c r="G129" s="11">
        <v>15</v>
      </c>
      <c r="H129" s="16">
        <v>6000</v>
      </c>
      <c r="I129" s="16">
        <f>DataClean[Harga_Satuan]*0.6</f>
        <v>3600</v>
      </c>
      <c r="J129" s="16">
        <f>DataClean[Harga_Satuan]-DataClean[Modal]</f>
        <v>2400</v>
      </c>
      <c r="K129" s="16">
        <f>DataClean[[#This Row],[Qty]]*DataClean[[#This Row],[Harga_Satuan]]</f>
        <v>90000</v>
      </c>
      <c r="L129" s="16">
        <f>DataClean[Total_Penjualan]-DataClean[Modal]</f>
        <v>86400</v>
      </c>
      <c r="M129" t="s">
        <v>53</v>
      </c>
      <c r="N129" t="s">
        <v>22</v>
      </c>
      <c r="V129" t="s">
        <v>166</v>
      </c>
      <c r="W129" s="16">
        <f>SUMIF(DataClean[Nama_Toko],V129,DataClean[Total_Penjualan])</f>
        <v>600000</v>
      </c>
    </row>
    <row r="130" spans="1:23" x14ac:dyDescent="0.25">
      <c r="A130" s="2">
        <v>45782</v>
      </c>
      <c r="B130">
        <f>YEAR(DataClean[[#This Row],[Tanggal]])</f>
        <v>2025</v>
      </c>
      <c r="C130" t="s">
        <v>467</v>
      </c>
      <c r="D130" t="s">
        <v>468</v>
      </c>
      <c r="E130" t="s">
        <v>26</v>
      </c>
      <c r="F130" t="s">
        <v>469</v>
      </c>
      <c r="G130" s="11">
        <v>1</v>
      </c>
      <c r="H130" s="16">
        <v>250000</v>
      </c>
      <c r="I130" s="16">
        <f>DataClean[Harga_Satuan]*0.6</f>
        <v>150000</v>
      </c>
      <c r="J130" s="16">
        <f>DataClean[Harga_Satuan]-DataClean[Modal]</f>
        <v>100000</v>
      </c>
      <c r="K130" s="16">
        <f>DataClean[[#This Row],[Qty]]*DataClean[[#This Row],[Harga_Satuan]]</f>
        <v>250000</v>
      </c>
      <c r="L130" s="16">
        <f>DataClean[Total_Penjualan]-DataClean[Modal]</f>
        <v>100000</v>
      </c>
      <c r="M130" t="s">
        <v>28</v>
      </c>
      <c r="N130" t="s">
        <v>29</v>
      </c>
      <c r="V130" t="s">
        <v>547</v>
      </c>
      <c r="W130" s="16">
        <f>SUMIF(DataClean[Nama_Toko],V130,DataClean[Total_Penjualan])</f>
        <v>445000</v>
      </c>
    </row>
    <row r="131" spans="1:23" x14ac:dyDescent="0.25">
      <c r="A131" s="2">
        <v>45232</v>
      </c>
      <c r="B131">
        <f>YEAR(DataClean[[#This Row],[Tanggal]])</f>
        <v>2023</v>
      </c>
      <c r="C131" t="s">
        <v>470</v>
      </c>
      <c r="D131" t="s">
        <v>285</v>
      </c>
      <c r="E131" t="s">
        <v>33</v>
      </c>
      <c r="F131" t="s">
        <v>471</v>
      </c>
      <c r="G131" s="11">
        <v>3</v>
      </c>
      <c r="H131" s="16">
        <v>40000</v>
      </c>
      <c r="I131" s="16">
        <f>DataClean[Harga_Satuan]*0.6</f>
        <v>24000</v>
      </c>
      <c r="J131" s="16">
        <f>DataClean[Harga_Satuan]-DataClean[Modal]</f>
        <v>16000</v>
      </c>
      <c r="K131" s="16">
        <f>DataClean[[#This Row],[Qty]]*DataClean[[#This Row],[Harga_Satuan]]</f>
        <v>120000</v>
      </c>
      <c r="L131" s="16">
        <f>DataClean[Total_Penjualan]-DataClean[Modal]</f>
        <v>96000</v>
      </c>
      <c r="M131" t="s">
        <v>39</v>
      </c>
      <c r="N131" t="s">
        <v>15</v>
      </c>
      <c r="V131" t="s">
        <v>551</v>
      </c>
      <c r="W131" s="16">
        <f>SUMIF(DataClean[Nama_Toko],V131,DataClean[Total_Penjualan])</f>
        <v>150000</v>
      </c>
    </row>
    <row r="132" spans="1:23" x14ac:dyDescent="0.25">
      <c r="A132" s="2">
        <v>45113</v>
      </c>
      <c r="B132">
        <f>YEAR(DataClean[[#This Row],[Tanggal]])</f>
        <v>2023</v>
      </c>
      <c r="C132" t="s">
        <v>472</v>
      </c>
      <c r="D132" t="s">
        <v>473</v>
      </c>
      <c r="E132" t="s">
        <v>12</v>
      </c>
      <c r="F132" t="s">
        <v>474</v>
      </c>
      <c r="G132" s="11">
        <v>7</v>
      </c>
      <c r="H132" s="16">
        <v>10000</v>
      </c>
      <c r="I132" s="16">
        <f>DataClean[Harga_Satuan]*0.6</f>
        <v>6000</v>
      </c>
      <c r="J132" s="16">
        <f>DataClean[Harga_Satuan]-DataClean[Modal]</f>
        <v>4000</v>
      </c>
      <c r="K132" s="16">
        <f>DataClean[[#This Row],[Qty]]*DataClean[[#This Row],[Harga_Satuan]]</f>
        <v>70000</v>
      </c>
      <c r="L132" s="16">
        <f>DataClean[Total_Penjualan]-DataClean[Modal]</f>
        <v>64000</v>
      </c>
      <c r="M132" t="s">
        <v>93</v>
      </c>
      <c r="N132" t="s">
        <v>22</v>
      </c>
      <c r="V132" t="s">
        <v>319</v>
      </c>
      <c r="W132" s="16">
        <f>SUMIF(DataClean[Nama_Toko],V132,DataClean[Total_Penjualan])</f>
        <v>300000</v>
      </c>
    </row>
    <row r="133" spans="1:23" x14ac:dyDescent="0.25">
      <c r="A133" s="2">
        <v>45969</v>
      </c>
      <c r="B133">
        <f>YEAR(DataClean[[#This Row],[Tanggal]])</f>
        <v>2025</v>
      </c>
      <c r="C133" t="s">
        <v>475</v>
      </c>
      <c r="D133" t="s">
        <v>476</v>
      </c>
      <c r="E133" t="s">
        <v>43</v>
      </c>
      <c r="F133" t="s">
        <v>477</v>
      </c>
      <c r="G133" s="11">
        <v>1</v>
      </c>
      <c r="H133" s="16">
        <v>750000</v>
      </c>
      <c r="I133" s="16">
        <f>DataClean[Harga_Satuan]*0.6</f>
        <v>450000</v>
      </c>
      <c r="J133" s="16">
        <f>DataClean[Harga_Satuan]-DataClean[Modal]</f>
        <v>300000</v>
      </c>
      <c r="K133" s="16">
        <f>DataClean[[#This Row],[Qty]]*DataClean[[#This Row],[Harga_Satuan]]</f>
        <v>750000</v>
      </c>
      <c r="L133" s="16">
        <f>DataClean[Total_Penjualan]-DataClean[Modal]</f>
        <v>300000</v>
      </c>
      <c r="M133" t="s">
        <v>45</v>
      </c>
      <c r="N133" t="s">
        <v>15</v>
      </c>
      <c r="V133" t="s">
        <v>557</v>
      </c>
      <c r="W133" s="16">
        <f>SUMIF(DataClean[Nama_Toko],V133,DataClean[Total_Penjualan])</f>
        <v>330000</v>
      </c>
    </row>
    <row r="134" spans="1:23" x14ac:dyDescent="0.25">
      <c r="A134" s="2">
        <v>45356</v>
      </c>
      <c r="B134">
        <f>YEAR(DataClean[[#This Row],[Tanggal]])</f>
        <v>2024</v>
      </c>
      <c r="C134" t="s">
        <v>479</v>
      </c>
      <c r="D134" t="s">
        <v>456</v>
      </c>
      <c r="E134" t="s">
        <v>48</v>
      </c>
      <c r="F134" t="s">
        <v>480</v>
      </c>
      <c r="G134" s="11">
        <v>4</v>
      </c>
      <c r="H134" s="16">
        <v>65000</v>
      </c>
      <c r="I134" s="16">
        <f>DataClean[Harga_Satuan]*0.6</f>
        <v>39000</v>
      </c>
      <c r="J134" s="16">
        <f>DataClean[Harga_Satuan]-DataClean[Modal]</f>
        <v>26000</v>
      </c>
      <c r="K134" s="16">
        <f>DataClean[[#This Row],[Qty]]*DataClean[[#This Row],[Harga_Satuan]]</f>
        <v>260000</v>
      </c>
      <c r="L134" s="16">
        <f>DataClean[Total_Penjualan]-DataClean[Modal]</f>
        <v>221000</v>
      </c>
      <c r="M134" t="s">
        <v>71</v>
      </c>
      <c r="N134" t="s">
        <v>29</v>
      </c>
      <c r="V134" t="s">
        <v>560</v>
      </c>
      <c r="W134" s="16">
        <f>SUMIF(DataClean[Nama_Toko],V134,DataClean[Total_Penjualan])</f>
        <v>50000</v>
      </c>
    </row>
    <row r="135" spans="1:23" x14ac:dyDescent="0.25">
      <c r="A135" s="2">
        <v>45184</v>
      </c>
      <c r="B135">
        <f>YEAR(DataClean[[#This Row],[Tanggal]])</f>
        <v>2023</v>
      </c>
      <c r="C135" t="s">
        <v>482</v>
      </c>
      <c r="D135" t="s">
        <v>483</v>
      </c>
      <c r="E135" t="s">
        <v>12</v>
      </c>
      <c r="F135" t="s">
        <v>484</v>
      </c>
      <c r="G135" s="11">
        <v>20</v>
      </c>
      <c r="H135" s="16">
        <v>4000</v>
      </c>
      <c r="I135" s="16">
        <f>DataClean[Harga_Satuan]*0.6</f>
        <v>2400</v>
      </c>
      <c r="J135" s="16">
        <f>DataClean[Harga_Satuan]-DataClean[Modal]</f>
        <v>1600</v>
      </c>
      <c r="K135" s="16">
        <f>DataClean[[#This Row],[Qty]]*DataClean[[#This Row],[Harga_Satuan]]</f>
        <v>80000</v>
      </c>
      <c r="L135" s="16">
        <f>DataClean[Total_Penjualan]-DataClean[Modal]</f>
        <v>77600</v>
      </c>
      <c r="M135" t="s">
        <v>67</v>
      </c>
      <c r="N135" t="s">
        <v>15</v>
      </c>
      <c r="V135" t="s">
        <v>432</v>
      </c>
      <c r="W135" s="16">
        <f>SUMIF(DataClean[Nama_Toko],V135,DataClean[Total_Penjualan])</f>
        <v>144000</v>
      </c>
    </row>
    <row r="136" spans="1:23" x14ac:dyDescent="0.25">
      <c r="A136" s="2">
        <v>45751</v>
      </c>
      <c r="B136">
        <f>YEAR(DataClean[[#This Row],[Tanggal]])</f>
        <v>2025</v>
      </c>
      <c r="C136" t="s">
        <v>486</v>
      </c>
      <c r="D136" t="s">
        <v>202</v>
      </c>
      <c r="E136" t="s">
        <v>19</v>
      </c>
      <c r="F136" t="s">
        <v>487</v>
      </c>
      <c r="G136" s="11">
        <v>5</v>
      </c>
      <c r="H136" s="16">
        <v>22000</v>
      </c>
      <c r="I136" s="16">
        <f>DataClean[Harga_Satuan]*0.6</f>
        <v>13200</v>
      </c>
      <c r="J136" s="16">
        <f>DataClean[Harga_Satuan]-DataClean[Modal]</f>
        <v>8800</v>
      </c>
      <c r="K136" s="16">
        <f>DataClean[[#This Row],[Qty]]*DataClean[[#This Row],[Harga_Satuan]]</f>
        <v>110000</v>
      </c>
      <c r="L136" s="16">
        <f>DataClean[Total_Penjualan]-DataClean[Modal]</f>
        <v>96800</v>
      </c>
      <c r="M136" t="s">
        <v>21</v>
      </c>
      <c r="N136" t="s">
        <v>22</v>
      </c>
      <c r="V136" t="s">
        <v>566</v>
      </c>
      <c r="W136" s="16">
        <f>SUMIF(DataClean[Nama_Toko],V136,DataClean[Total_Penjualan])</f>
        <v>150000</v>
      </c>
    </row>
    <row r="137" spans="1:23" x14ac:dyDescent="0.25">
      <c r="A137" s="2">
        <v>45248</v>
      </c>
      <c r="B137">
        <f>YEAR(DataClean[[#This Row],[Tanggal]])</f>
        <v>2023</v>
      </c>
      <c r="C137" t="s">
        <v>488</v>
      </c>
      <c r="D137" t="s">
        <v>489</v>
      </c>
      <c r="E137" t="s">
        <v>26</v>
      </c>
      <c r="F137" t="s">
        <v>490</v>
      </c>
      <c r="G137" s="11">
        <v>2</v>
      </c>
      <c r="H137" s="16">
        <v>55000</v>
      </c>
      <c r="I137" s="16">
        <f>DataClean[Harga_Satuan]*0.6</f>
        <v>33000</v>
      </c>
      <c r="J137" s="16">
        <f>DataClean[Harga_Satuan]-DataClean[Modal]</f>
        <v>22000</v>
      </c>
      <c r="K137" s="16">
        <f>DataClean[[#This Row],[Qty]]*DataClean[[#This Row],[Harga_Satuan]]</f>
        <v>110000</v>
      </c>
      <c r="L137" s="16">
        <f>DataClean[Total_Penjualan]-DataClean[Modal]</f>
        <v>77000</v>
      </c>
      <c r="M137" t="s">
        <v>53</v>
      </c>
      <c r="N137" t="s">
        <v>29</v>
      </c>
      <c r="V137" t="s">
        <v>148</v>
      </c>
      <c r="W137" s="16">
        <f>SUMIF(DataClean[Nama_Toko],V137,DataClean[Total_Penjualan])</f>
        <v>250000</v>
      </c>
    </row>
    <row r="138" spans="1:23" x14ac:dyDescent="0.25">
      <c r="A138" s="2">
        <v>45821</v>
      </c>
      <c r="B138">
        <f>YEAR(DataClean[[#This Row],[Tanggal]])</f>
        <v>2025</v>
      </c>
      <c r="C138" t="s">
        <v>491</v>
      </c>
      <c r="D138" t="s">
        <v>247</v>
      </c>
      <c r="E138" t="s">
        <v>33</v>
      </c>
      <c r="F138" t="s">
        <v>492</v>
      </c>
      <c r="G138" s="11">
        <v>1</v>
      </c>
      <c r="H138" s="16">
        <v>60000</v>
      </c>
      <c r="I138" s="16">
        <f>DataClean[Harga_Satuan]*0.6</f>
        <v>36000</v>
      </c>
      <c r="J138" s="16">
        <f>DataClean[Harga_Satuan]-DataClean[Modal]</f>
        <v>24000</v>
      </c>
      <c r="K138" s="16">
        <f>DataClean[[#This Row],[Qty]]*DataClean[[#This Row],[Harga_Satuan]]</f>
        <v>60000</v>
      </c>
      <c r="L138" s="16">
        <f>DataClean[Total_Penjualan]-DataClean[Modal]</f>
        <v>24000</v>
      </c>
      <c r="M138" t="s">
        <v>28</v>
      </c>
      <c r="N138" t="s">
        <v>15</v>
      </c>
      <c r="V138" t="s">
        <v>572</v>
      </c>
      <c r="W138" s="16">
        <f>SUMIF(DataClean[Nama_Toko],V138,DataClean[Total_Penjualan])</f>
        <v>315000</v>
      </c>
    </row>
    <row r="139" spans="1:23" x14ac:dyDescent="0.25">
      <c r="A139" s="2">
        <v>45186</v>
      </c>
      <c r="B139">
        <f>YEAR(DataClean[[#This Row],[Tanggal]])</f>
        <v>2023</v>
      </c>
      <c r="C139" t="s">
        <v>493</v>
      </c>
      <c r="D139" t="s">
        <v>494</v>
      </c>
      <c r="E139" t="s">
        <v>12</v>
      </c>
      <c r="F139" t="s">
        <v>495</v>
      </c>
      <c r="G139" s="11">
        <v>3</v>
      </c>
      <c r="H139" s="16">
        <v>50000</v>
      </c>
      <c r="I139" s="16">
        <f>DataClean[Harga_Satuan]*0.6</f>
        <v>30000</v>
      </c>
      <c r="J139" s="16">
        <f>DataClean[Harga_Satuan]-DataClean[Modal]</f>
        <v>20000</v>
      </c>
      <c r="K139" s="16">
        <f>DataClean[[#This Row],[Qty]]*DataClean[[#This Row],[Harga_Satuan]]</f>
        <v>150000</v>
      </c>
      <c r="L139" s="16">
        <f>DataClean[Total_Penjualan]-DataClean[Modal]</f>
        <v>120000</v>
      </c>
      <c r="M139" t="s">
        <v>59</v>
      </c>
      <c r="N139" t="s">
        <v>22</v>
      </c>
      <c r="V139" t="s">
        <v>374</v>
      </c>
      <c r="W139" s="16">
        <f>SUMIF(DataClean[Nama_Toko],V139,DataClean[Total_Penjualan])</f>
        <v>160000</v>
      </c>
    </row>
    <row r="140" spans="1:23" x14ac:dyDescent="0.25">
      <c r="A140" s="2">
        <v>45137</v>
      </c>
      <c r="B140">
        <f>YEAR(DataClean[[#This Row],[Tanggal]])</f>
        <v>2023</v>
      </c>
      <c r="C140" t="s">
        <v>497</v>
      </c>
      <c r="D140" t="s">
        <v>498</v>
      </c>
      <c r="E140" t="s">
        <v>43</v>
      </c>
      <c r="F140" t="s">
        <v>499</v>
      </c>
      <c r="G140" s="11">
        <v>1</v>
      </c>
      <c r="H140" s="16">
        <v>180000</v>
      </c>
      <c r="I140" s="16">
        <f>DataClean[Harga_Satuan]*0.6</f>
        <v>108000</v>
      </c>
      <c r="J140" s="16">
        <f>DataClean[Harga_Satuan]-DataClean[Modal]</f>
        <v>72000</v>
      </c>
      <c r="K140" s="16">
        <f>DataClean[[#This Row],[Qty]]*DataClean[[#This Row],[Harga_Satuan]]</f>
        <v>180000</v>
      </c>
      <c r="L140" s="16">
        <f>DataClean[Total_Penjualan]-DataClean[Modal]</f>
        <v>72000</v>
      </c>
      <c r="M140" t="s">
        <v>14</v>
      </c>
      <c r="N140" t="s">
        <v>15</v>
      </c>
      <c r="V140" t="s">
        <v>121</v>
      </c>
      <c r="W140" s="16">
        <f>SUMIF(DataClean[Nama_Toko],V140,DataClean[Total_Penjualan])</f>
        <v>290000</v>
      </c>
    </row>
    <row r="141" spans="1:23" x14ac:dyDescent="0.25">
      <c r="A141" s="2">
        <v>45108</v>
      </c>
      <c r="B141">
        <f>YEAR(DataClean[[#This Row],[Tanggal]])</f>
        <v>2023</v>
      </c>
      <c r="C141" t="s">
        <v>500</v>
      </c>
      <c r="D141" t="s">
        <v>406</v>
      </c>
      <c r="E141" t="s">
        <v>48</v>
      </c>
      <c r="F141" t="s">
        <v>501</v>
      </c>
      <c r="G141" s="11">
        <v>1</v>
      </c>
      <c r="H141" s="16">
        <v>150000</v>
      </c>
      <c r="I141" s="16">
        <f>DataClean[Harga_Satuan]*0.6</f>
        <v>90000</v>
      </c>
      <c r="J141" s="16">
        <f>DataClean[Harga_Satuan]-DataClean[Modal]</f>
        <v>60000</v>
      </c>
      <c r="K141" s="16">
        <f>DataClean[[#This Row],[Qty]]*DataClean[[#This Row],[Harga_Satuan]]</f>
        <v>150000</v>
      </c>
      <c r="L141" s="16">
        <f>DataClean[Total_Penjualan]-DataClean[Modal]</f>
        <v>60000</v>
      </c>
      <c r="M141" t="s">
        <v>45</v>
      </c>
      <c r="N141" t="s">
        <v>29</v>
      </c>
      <c r="V141" t="s">
        <v>580</v>
      </c>
      <c r="W141" s="16">
        <f>SUMIF(DataClean[Nama_Toko],V141,DataClean[Total_Penjualan])</f>
        <v>275000</v>
      </c>
    </row>
    <row r="142" spans="1:23" x14ac:dyDescent="0.25">
      <c r="A142" s="2">
        <v>44966</v>
      </c>
      <c r="B142">
        <f>YEAR(DataClean[[#This Row],[Tanggal]])</f>
        <v>2023</v>
      </c>
      <c r="C142" t="s">
        <v>503</v>
      </c>
      <c r="D142" t="s">
        <v>504</v>
      </c>
      <c r="E142" t="s">
        <v>12</v>
      </c>
      <c r="F142" t="s">
        <v>505</v>
      </c>
      <c r="G142" s="11">
        <v>10</v>
      </c>
      <c r="H142" s="16">
        <v>3000</v>
      </c>
      <c r="I142" s="16">
        <f>DataClean[Harga_Satuan]*0.6</f>
        <v>1800</v>
      </c>
      <c r="J142" s="16">
        <f>DataClean[Harga_Satuan]-DataClean[Modal]</f>
        <v>1200</v>
      </c>
      <c r="K142" s="16">
        <f>DataClean[[#This Row],[Qty]]*DataClean[[#This Row],[Harga_Satuan]]</f>
        <v>30000</v>
      </c>
      <c r="L142" s="16">
        <f>DataClean[Total_Penjualan]-DataClean[Modal]</f>
        <v>28200</v>
      </c>
      <c r="M142" t="s">
        <v>71</v>
      </c>
      <c r="N142" t="s">
        <v>15</v>
      </c>
      <c r="V142" t="s">
        <v>535</v>
      </c>
      <c r="W142" s="16">
        <f>SUMIF(DataClean[Nama_Toko],V142,DataClean[Total_Penjualan])</f>
        <v>375000</v>
      </c>
    </row>
    <row r="143" spans="1:23" x14ac:dyDescent="0.25">
      <c r="A143" s="2">
        <v>44948</v>
      </c>
      <c r="B143">
        <f>YEAR(DataClean[[#This Row],[Tanggal]])</f>
        <v>2023</v>
      </c>
      <c r="C143" t="s">
        <v>507</v>
      </c>
      <c r="D143" t="s">
        <v>228</v>
      </c>
      <c r="E143" t="s">
        <v>19</v>
      </c>
      <c r="F143" t="s">
        <v>508</v>
      </c>
      <c r="G143" s="11">
        <v>2</v>
      </c>
      <c r="H143" s="16">
        <v>40000</v>
      </c>
      <c r="I143" s="16">
        <f>DataClean[Harga_Satuan]*0.6</f>
        <v>24000</v>
      </c>
      <c r="J143" s="16">
        <f>DataClean[Harga_Satuan]-DataClean[Modal]</f>
        <v>16000</v>
      </c>
      <c r="K143" s="16">
        <f>DataClean[[#This Row],[Qty]]*DataClean[[#This Row],[Harga_Satuan]]</f>
        <v>80000</v>
      </c>
      <c r="L143" s="16">
        <f>DataClean[Total_Penjualan]-DataClean[Modal]</f>
        <v>56000</v>
      </c>
      <c r="M143" t="s">
        <v>67</v>
      </c>
      <c r="N143" t="s">
        <v>22</v>
      </c>
      <c r="V143" t="s">
        <v>387</v>
      </c>
      <c r="W143" s="16">
        <f>SUMIF(DataClean[Nama_Toko],V143,DataClean[Total_Penjualan])</f>
        <v>140000</v>
      </c>
    </row>
    <row r="144" spans="1:23" x14ac:dyDescent="0.25">
      <c r="A144" s="2">
        <v>45469</v>
      </c>
      <c r="B144">
        <f>YEAR(DataClean[[#This Row],[Tanggal]])</f>
        <v>2024</v>
      </c>
      <c r="C144" t="s">
        <v>510</v>
      </c>
      <c r="D144" t="s">
        <v>511</v>
      </c>
      <c r="E144" t="s">
        <v>26</v>
      </c>
      <c r="F144" t="s">
        <v>512</v>
      </c>
      <c r="G144" s="11">
        <v>1</v>
      </c>
      <c r="H144" s="16">
        <v>450000</v>
      </c>
      <c r="I144" s="16">
        <f>DataClean[Harga_Satuan]*0.6</f>
        <v>270000</v>
      </c>
      <c r="J144" s="16">
        <f>DataClean[Harga_Satuan]-DataClean[Modal]</f>
        <v>180000</v>
      </c>
      <c r="K144" s="16">
        <f>DataClean[[#This Row],[Qty]]*DataClean[[#This Row],[Harga_Satuan]]</f>
        <v>450000</v>
      </c>
      <c r="L144" s="16">
        <f>DataClean[Total_Penjualan]-DataClean[Modal]</f>
        <v>180000</v>
      </c>
      <c r="M144" t="s">
        <v>21</v>
      </c>
      <c r="N144" t="s">
        <v>29</v>
      </c>
      <c r="V144" t="s">
        <v>267</v>
      </c>
      <c r="W144" s="16">
        <f>SUMIF(DataClean[Nama_Toko],V144,DataClean[Total_Penjualan])</f>
        <v>128000</v>
      </c>
    </row>
    <row r="145" spans="1:23" x14ac:dyDescent="0.25">
      <c r="A145" s="2">
        <v>45821</v>
      </c>
      <c r="B145">
        <f>YEAR(DataClean[[#This Row],[Tanggal]])</f>
        <v>2025</v>
      </c>
      <c r="C145" t="s">
        <v>514</v>
      </c>
      <c r="D145" t="s">
        <v>331</v>
      </c>
      <c r="E145" t="s">
        <v>33</v>
      </c>
      <c r="F145" t="s">
        <v>515</v>
      </c>
      <c r="G145" s="11">
        <v>3</v>
      </c>
      <c r="H145" s="16">
        <v>35000</v>
      </c>
      <c r="I145" s="16">
        <f>DataClean[Harga_Satuan]*0.6</f>
        <v>21000</v>
      </c>
      <c r="J145" s="16">
        <f>DataClean[Harga_Satuan]-DataClean[Modal]</f>
        <v>14000</v>
      </c>
      <c r="K145" s="16">
        <f>DataClean[[#This Row],[Qty]]*DataClean[[#This Row],[Harga_Satuan]]</f>
        <v>105000</v>
      </c>
      <c r="L145" s="16">
        <f>DataClean[Total_Penjualan]-DataClean[Modal]</f>
        <v>84000</v>
      </c>
      <c r="M145" t="s">
        <v>53</v>
      </c>
      <c r="N145" t="s">
        <v>15</v>
      </c>
      <c r="V145" t="s">
        <v>483</v>
      </c>
      <c r="W145" s="16">
        <f>SUMIF(DataClean[Nama_Toko],V145,DataClean[Total_Penjualan])</f>
        <v>80000</v>
      </c>
    </row>
    <row r="146" spans="1:23" x14ac:dyDescent="0.25">
      <c r="A146" s="2">
        <v>45116</v>
      </c>
      <c r="B146">
        <f>YEAR(DataClean[[#This Row],[Tanggal]])</f>
        <v>2023</v>
      </c>
      <c r="C146" t="s">
        <v>516</v>
      </c>
      <c r="D146" t="s">
        <v>517</v>
      </c>
      <c r="E146" t="s">
        <v>12</v>
      </c>
      <c r="F146" t="s">
        <v>518</v>
      </c>
      <c r="G146" s="11">
        <v>5</v>
      </c>
      <c r="H146" s="16">
        <v>28000</v>
      </c>
      <c r="I146" s="16">
        <f>DataClean[Harga_Satuan]*0.6</f>
        <v>16800</v>
      </c>
      <c r="J146" s="16">
        <f>DataClean[Harga_Satuan]-DataClean[Modal]</f>
        <v>11200</v>
      </c>
      <c r="K146" s="16">
        <f>DataClean[[#This Row],[Qty]]*DataClean[[#This Row],[Harga_Satuan]]</f>
        <v>140000</v>
      </c>
      <c r="L146" s="16">
        <f>DataClean[Total_Penjualan]-DataClean[Modal]</f>
        <v>123200</v>
      </c>
      <c r="M146" t="s">
        <v>28</v>
      </c>
      <c r="N146" t="s">
        <v>22</v>
      </c>
      <c r="V146" t="s">
        <v>454</v>
      </c>
      <c r="W146" s="16">
        <f>SUMIF(DataClean[Nama_Toko],V146,DataClean[Total_Penjualan])</f>
        <v>75000</v>
      </c>
    </row>
    <row r="147" spans="1:23" x14ac:dyDescent="0.25">
      <c r="A147" s="2">
        <v>45611</v>
      </c>
      <c r="B147">
        <f>YEAR(DataClean[[#This Row],[Tanggal]])</f>
        <v>2024</v>
      </c>
      <c r="C147" t="s">
        <v>519</v>
      </c>
      <c r="D147" t="s">
        <v>485</v>
      </c>
      <c r="E147" t="s">
        <v>43</v>
      </c>
      <c r="F147" t="s">
        <v>520</v>
      </c>
      <c r="G147" s="11">
        <v>1</v>
      </c>
      <c r="H147" s="16">
        <v>600000</v>
      </c>
      <c r="I147" s="16">
        <f>DataClean[Harga_Satuan]*0.6</f>
        <v>360000</v>
      </c>
      <c r="J147" s="16">
        <f>DataClean[Harga_Satuan]-DataClean[Modal]</f>
        <v>240000</v>
      </c>
      <c r="K147" s="16">
        <f>DataClean[[#This Row],[Qty]]*DataClean[[#This Row],[Harga_Satuan]]</f>
        <v>600000</v>
      </c>
      <c r="L147" s="16">
        <f>DataClean[Total_Penjualan]-DataClean[Modal]</f>
        <v>240000</v>
      </c>
      <c r="M147" t="s">
        <v>39</v>
      </c>
      <c r="N147" t="s">
        <v>15</v>
      </c>
      <c r="V147" t="s">
        <v>596</v>
      </c>
      <c r="W147" s="16">
        <f>SUMIF(DataClean[Nama_Toko],V147,DataClean[Total_Penjualan])</f>
        <v>220000</v>
      </c>
    </row>
    <row r="148" spans="1:23" x14ac:dyDescent="0.25">
      <c r="A148" s="2">
        <v>45037</v>
      </c>
      <c r="B148">
        <f>YEAR(DataClean[[#This Row],[Tanggal]])</f>
        <v>2023</v>
      </c>
      <c r="C148" t="s">
        <v>522</v>
      </c>
      <c r="D148" t="s">
        <v>389</v>
      </c>
      <c r="E148" t="s">
        <v>48</v>
      </c>
      <c r="F148" t="s">
        <v>523</v>
      </c>
      <c r="G148" s="11">
        <v>2</v>
      </c>
      <c r="H148" s="16">
        <v>70000</v>
      </c>
      <c r="I148" s="16">
        <f>DataClean[Harga_Satuan]*0.6</f>
        <v>42000</v>
      </c>
      <c r="J148" s="16">
        <f>DataClean[Harga_Satuan]-DataClean[Modal]</f>
        <v>28000</v>
      </c>
      <c r="K148" s="16">
        <f>DataClean[[#This Row],[Qty]]*DataClean[[#This Row],[Harga_Satuan]]</f>
        <v>140000</v>
      </c>
      <c r="L148" s="16">
        <f>DataClean[Total_Penjualan]-DataClean[Modal]</f>
        <v>98000</v>
      </c>
      <c r="M148" t="s">
        <v>93</v>
      </c>
      <c r="N148" t="s">
        <v>29</v>
      </c>
      <c r="V148" t="s">
        <v>576</v>
      </c>
      <c r="W148" s="16">
        <f>SUMIF(DataClean[Nama_Toko],V148,DataClean[Total_Penjualan])</f>
        <v>120000</v>
      </c>
    </row>
    <row r="149" spans="1:23" x14ac:dyDescent="0.25">
      <c r="A149" s="2">
        <v>45543</v>
      </c>
      <c r="B149">
        <f>YEAR(DataClean[[#This Row],[Tanggal]])</f>
        <v>2024</v>
      </c>
      <c r="C149" t="s">
        <v>524</v>
      </c>
      <c r="D149" t="s">
        <v>525</v>
      </c>
      <c r="E149" t="s">
        <v>12</v>
      </c>
      <c r="F149" t="s">
        <v>526</v>
      </c>
      <c r="G149" s="11">
        <v>18</v>
      </c>
      <c r="H149" s="16">
        <v>5000</v>
      </c>
      <c r="I149" s="16">
        <f>DataClean[Harga_Satuan]*0.6</f>
        <v>3000</v>
      </c>
      <c r="J149" s="16">
        <f>DataClean[Harga_Satuan]-DataClean[Modal]</f>
        <v>2000</v>
      </c>
      <c r="K149" s="16">
        <f>DataClean[[#This Row],[Qty]]*DataClean[[#This Row],[Harga_Satuan]]</f>
        <v>90000</v>
      </c>
      <c r="L149" s="16">
        <f>DataClean[Total_Penjualan]-DataClean[Modal]</f>
        <v>87000</v>
      </c>
      <c r="M149" t="s">
        <v>45</v>
      </c>
      <c r="N149" t="s">
        <v>15</v>
      </c>
      <c r="V149" t="s">
        <v>326</v>
      </c>
      <c r="W149" s="16">
        <f>SUMIF(DataClean[Nama_Toko],V149,DataClean[Total_Penjualan])</f>
        <v>112000</v>
      </c>
    </row>
    <row r="150" spans="1:23" x14ac:dyDescent="0.25">
      <c r="A150" s="2">
        <v>45989</v>
      </c>
      <c r="B150">
        <f>YEAR(DataClean[[#This Row],[Tanggal]])</f>
        <v>2025</v>
      </c>
      <c r="C150" t="s">
        <v>527</v>
      </c>
      <c r="D150" t="s">
        <v>139</v>
      </c>
      <c r="E150" t="s">
        <v>19</v>
      </c>
      <c r="F150" t="s">
        <v>528</v>
      </c>
      <c r="G150" s="11">
        <v>8</v>
      </c>
      <c r="H150" s="16">
        <v>11000</v>
      </c>
      <c r="I150" s="16">
        <f>DataClean[Harga_Satuan]*0.6</f>
        <v>6600</v>
      </c>
      <c r="J150" s="16">
        <f>DataClean[Harga_Satuan]-DataClean[Modal]</f>
        <v>4400</v>
      </c>
      <c r="K150" s="16">
        <f>DataClean[[#This Row],[Qty]]*DataClean[[#This Row],[Harga_Satuan]]</f>
        <v>88000</v>
      </c>
      <c r="L150" s="16">
        <f>DataClean[Total_Penjualan]-DataClean[Modal]</f>
        <v>81400</v>
      </c>
      <c r="M150" t="s">
        <v>71</v>
      </c>
      <c r="N150" t="s">
        <v>22</v>
      </c>
      <c r="V150" t="s">
        <v>504</v>
      </c>
      <c r="W150" s="16">
        <f>SUMIF(DataClean[Nama_Toko],V150,DataClean[Total_Penjualan])</f>
        <v>30000</v>
      </c>
    </row>
    <row r="151" spans="1:23" x14ac:dyDescent="0.25">
      <c r="A151" s="2">
        <v>45991</v>
      </c>
      <c r="B151">
        <f>YEAR(DataClean[[#This Row],[Tanggal]])</f>
        <v>2025</v>
      </c>
      <c r="C151" t="s">
        <v>529</v>
      </c>
      <c r="D151" t="s">
        <v>530</v>
      </c>
      <c r="E151" t="s">
        <v>26</v>
      </c>
      <c r="F151" t="s">
        <v>531</v>
      </c>
      <c r="G151" s="11">
        <v>1</v>
      </c>
      <c r="H151" s="16">
        <v>250000</v>
      </c>
      <c r="I151" s="16">
        <f>DataClean[Harga_Satuan]*0.6</f>
        <v>150000</v>
      </c>
      <c r="J151" s="16">
        <f>DataClean[Harga_Satuan]-DataClean[Modal]</f>
        <v>100000</v>
      </c>
      <c r="K151" s="16">
        <f>DataClean[[#This Row],[Qty]]*DataClean[[#This Row],[Harga_Satuan]]</f>
        <v>250000</v>
      </c>
      <c r="L151" s="16">
        <f>DataClean[Total_Penjualan]-DataClean[Modal]</f>
        <v>100000</v>
      </c>
      <c r="M151" t="s">
        <v>67</v>
      </c>
      <c r="N151" t="s">
        <v>29</v>
      </c>
      <c r="V151" t="s">
        <v>494</v>
      </c>
      <c r="W151" s="16">
        <f>SUMIF(DataClean[Nama_Toko],V151,DataClean[Total_Penjualan])</f>
        <v>150000</v>
      </c>
    </row>
    <row r="152" spans="1:23" x14ac:dyDescent="0.25">
      <c r="A152" s="2">
        <v>45311</v>
      </c>
      <c r="B152">
        <f>YEAR(DataClean[[#This Row],[Tanggal]])</f>
        <v>2024</v>
      </c>
      <c r="C152" t="s">
        <v>532</v>
      </c>
      <c r="D152" t="s">
        <v>255</v>
      </c>
      <c r="E152" t="s">
        <v>33</v>
      </c>
      <c r="F152" t="s">
        <v>533</v>
      </c>
      <c r="G152" s="11">
        <v>1</v>
      </c>
      <c r="H152" s="16">
        <v>120000</v>
      </c>
      <c r="I152" s="16">
        <f>DataClean[Harga_Satuan]*0.6</f>
        <v>72000</v>
      </c>
      <c r="J152" s="16">
        <f>DataClean[Harga_Satuan]-DataClean[Modal]</f>
        <v>48000</v>
      </c>
      <c r="K152" s="16">
        <f>DataClean[[#This Row],[Qty]]*DataClean[[#This Row],[Harga_Satuan]]</f>
        <v>120000</v>
      </c>
      <c r="L152" s="16">
        <f>DataClean[Total_Penjualan]-DataClean[Modal]</f>
        <v>48000</v>
      </c>
      <c r="M152" t="s">
        <v>21</v>
      </c>
      <c r="N152" t="s">
        <v>15</v>
      </c>
      <c r="V152" t="s">
        <v>410</v>
      </c>
      <c r="W152" s="16">
        <f>SUMIF(DataClean[Nama_Toko],V152,DataClean[Total_Penjualan])</f>
        <v>84000</v>
      </c>
    </row>
    <row r="153" spans="1:23" x14ac:dyDescent="0.25">
      <c r="A153" s="2">
        <v>45174</v>
      </c>
      <c r="B153">
        <f>YEAR(DataClean[[#This Row],[Tanggal]])</f>
        <v>2023</v>
      </c>
      <c r="C153" t="s">
        <v>534</v>
      </c>
      <c r="D153" t="s">
        <v>535</v>
      </c>
      <c r="E153" t="s">
        <v>12</v>
      </c>
      <c r="F153" t="s">
        <v>536</v>
      </c>
      <c r="G153" s="11">
        <v>5</v>
      </c>
      <c r="H153" s="16">
        <v>75000</v>
      </c>
      <c r="I153" s="16">
        <f>DataClean[Harga_Satuan]*0.6</f>
        <v>45000</v>
      </c>
      <c r="J153" s="16">
        <f>DataClean[Harga_Satuan]-DataClean[Modal]</f>
        <v>30000</v>
      </c>
      <c r="K153" s="16">
        <f>DataClean[[#This Row],[Qty]]*DataClean[[#This Row],[Harga_Satuan]]</f>
        <v>375000</v>
      </c>
      <c r="L153" s="16">
        <f>DataClean[Total_Penjualan]-DataClean[Modal]</f>
        <v>330000</v>
      </c>
      <c r="M153" t="s">
        <v>53</v>
      </c>
      <c r="N153" t="s">
        <v>22</v>
      </c>
      <c r="V153" t="s">
        <v>564</v>
      </c>
      <c r="W153" s="16">
        <f>SUMIF(DataClean[Nama_Toko],V153,DataClean[Total_Penjualan])</f>
        <v>120000</v>
      </c>
    </row>
    <row r="154" spans="1:23" x14ac:dyDescent="0.25">
      <c r="A154" s="2">
        <v>45809</v>
      </c>
      <c r="B154">
        <f>YEAR(DataClean[[#This Row],[Tanggal]])</f>
        <v>2025</v>
      </c>
      <c r="C154" t="s">
        <v>538</v>
      </c>
      <c r="D154" t="s">
        <v>481</v>
      </c>
      <c r="E154" t="s">
        <v>43</v>
      </c>
      <c r="F154" t="s">
        <v>539</v>
      </c>
      <c r="G154" s="11">
        <v>3</v>
      </c>
      <c r="H154" s="16">
        <v>90000</v>
      </c>
      <c r="I154" s="16">
        <f>DataClean[Harga_Satuan]*0.6</f>
        <v>54000</v>
      </c>
      <c r="J154" s="16">
        <f>DataClean[Harga_Satuan]-DataClean[Modal]</f>
        <v>36000</v>
      </c>
      <c r="K154" s="16">
        <f>DataClean[[#This Row],[Qty]]*DataClean[[#This Row],[Harga_Satuan]]</f>
        <v>270000</v>
      </c>
      <c r="L154" s="16">
        <f>DataClean[Total_Penjualan]-DataClean[Modal]</f>
        <v>216000</v>
      </c>
      <c r="M154" t="s">
        <v>28</v>
      </c>
      <c r="N154" t="s">
        <v>15</v>
      </c>
      <c r="V154" t="s">
        <v>316</v>
      </c>
      <c r="W154" s="16">
        <f>SUMIF(DataClean[Nama_Toko],V154,DataClean[Total_Penjualan])</f>
        <v>538500</v>
      </c>
    </row>
    <row r="155" spans="1:23" x14ac:dyDescent="0.25">
      <c r="A155" s="2">
        <v>45350</v>
      </c>
      <c r="B155">
        <f>YEAR(DataClean[[#This Row],[Tanggal]])</f>
        <v>2024</v>
      </c>
      <c r="C155" t="s">
        <v>540</v>
      </c>
      <c r="D155" t="s">
        <v>376</v>
      </c>
      <c r="E155" t="s">
        <v>48</v>
      </c>
      <c r="F155" t="s">
        <v>541</v>
      </c>
      <c r="G155" s="11">
        <v>4</v>
      </c>
      <c r="H155" s="16">
        <v>40000</v>
      </c>
      <c r="I155" s="16">
        <f>DataClean[Harga_Satuan]*0.6</f>
        <v>24000</v>
      </c>
      <c r="J155" s="16">
        <f>DataClean[Harga_Satuan]-DataClean[Modal]</f>
        <v>16000</v>
      </c>
      <c r="K155" s="16">
        <f>DataClean[[#This Row],[Qty]]*DataClean[[#This Row],[Harga_Satuan]]</f>
        <v>160000</v>
      </c>
      <c r="L155" s="16">
        <f>DataClean[Total_Penjualan]-DataClean[Modal]</f>
        <v>136000</v>
      </c>
      <c r="M155" t="s">
        <v>39</v>
      </c>
      <c r="N155" t="s">
        <v>29</v>
      </c>
      <c r="V155" t="s">
        <v>398</v>
      </c>
      <c r="W155" s="16">
        <f>SUMIF(DataClean[Nama_Toko],V155,DataClean[Total_Penjualan])</f>
        <v>170000</v>
      </c>
    </row>
    <row r="156" spans="1:23" x14ac:dyDescent="0.25">
      <c r="A156" s="2">
        <v>45541</v>
      </c>
      <c r="B156">
        <f>YEAR(DataClean[[#This Row],[Tanggal]])</f>
        <v>2024</v>
      </c>
      <c r="C156" t="s">
        <v>542</v>
      </c>
      <c r="D156" t="s">
        <v>543</v>
      </c>
      <c r="E156" t="s">
        <v>12</v>
      </c>
      <c r="F156" t="s">
        <v>544</v>
      </c>
      <c r="G156" s="11">
        <v>10</v>
      </c>
      <c r="H156" s="16">
        <v>14000</v>
      </c>
      <c r="I156" s="16">
        <f>DataClean[Harga_Satuan]*0.6</f>
        <v>8400</v>
      </c>
      <c r="J156" s="16">
        <f>DataClean[Harga_Satuan]-DataClean[Modal]</f>
        <v>5600</v>
      </c>
      <c r="K156" s="16">
        <f>DataClean[[#This Row],[Qty]]*DataClean[[#This Row],[Harga_Satuan]]</f>
        <v>140000</v>
      </c>
      <c r="L156" s="16">
        <f>DataClean[Total_Penjualan]-DataClean[Modal]</f>
        <v>131600</v>
      </c>
      <c r="M156" t="s">
        <v>93</v>
      </c>
      <c r="N156" t="s">
        <v>15</v>
      </c>
      <c r="V156" t="s">
        <v>65</v>
      </c>
      <c r="W156" s="16">
        <f>SUMIF(DataClean[Nama_Toko],V156,DataClean[Total_Penjualan])</f>
        <v>306000</v>
      </c>
    </row>
    <row r="157" spans="1:23" x14ac:dyDescent="0.25">
      <c r="A157" s="2">
        <v>45045</v>
      </c>
      <c r="B157">
        <f>YEAR(DataClean[[#This Row],[Tanggal]])</f>
        <v>2023</v>
      </c>
      <c r="C157" t="s">
        <v>545</v>
      </c>
      <c r="D157" t="s">
        <v>220</v>
      </c>
      <c r="E157" t="s">
        <v>19</v>
      </c>
      <c r="F157" t="s">
        <v>546</v>
      </c>
      <c r="G157" s="11">
        <v>25</v>
      </c>
      <c r="H157" s="16">
        <v>3000</v>
      </c>
      <c r="I157" s="16">
        <f>DataClean[Harga_Satuan]*0.6</f>
        <v>1800</v>
      </c>
      <c r="J157" s="16">
        <f>DataClean[Harga_Satuan]-DataClean[Modal]</f>
        <v>1200</v>
      </c>
      <c r="K157" s="16">
        <f>DataClean[[#This Row],[Qty]]*DataClean[[#This Row],[Harga_Satuan]]</f>
        <v>75000</v>
      </c>
      <c r="L157" s="16">
        <f>DataClean[Total_Penjualan]-DataClean[Modal]</f>
        <v>73200</v>
      </c>
      <c r="M157" t="s">
        <v>45</v>
      </c>
      <c r="N157" t="s">
        <v>22</v>
      </c>
      <c r="V157" t="s">
        <v>517</v>
      </c>
      <c r="W157" s="16">
        <f>SUMIF(DataClean[Nama_Toko],V157,DataClean[Total_Penjualan])</f>
        <v>140000</v>
      </c>
    </row>
    <row r="158" spans="1:23" x14ac:dyDescent="0.25">
      <c r="A158" s="2">
        <v>45441</v>
      </c>
      <c r="B158">
        <f>YEAR(DataClean[[#This Row],[Tanggal]])</f>
        <v>2024</v>
      </c>
      <c r="C158" t="s">
        <v>548</v>
      </c>
      <c r="D158" t="s">
        <v>549</v>
      </c>
      <c r="E158" t="s">
        <v>26</v>
      </c>
      <c r="F158" t="s">
        <v>550</v>
      </c>
      <c r="G158" s="11">
        <v>2</v>
      </c>
      <c r="H158" s="16">
        <v>200000</v>
      </c>
      <c r="I158" s="16">
        <f>DataClean[Harga_Satuan]*0.6</f>
        <v>120000</v>
      </c>
      <c r="J158" s="16">
        <f>DataClean[Harga_Satuan]-DataClean[Modal]</f>
        <v>80000</v>
      </c>
      <c r="K158" s="16">
        <f>DataClean[[#This Row],[Qty]]*DataClean[[#This Row],[Harga_Satuan]]</f>
        <v>400000</v>
      </c>
      <c r="L158" s="16">
        <f>DataClean[Total_Penjualan]-DataClean[Modal]</f>
        <v>280000</v>
      </c>
      <c r="M158" t="s">
        <v>71</v>
      </c>
      <c r="N158" t="s">
        <v>29</v>
      </c>
      <c r="V158" t="s">
        <v>621</v>
      </c>
      <c r="W158" s="16">
        <f>SUMIF(DataClean[Nama_Toko],V158,DataClean[Total_Penjualan])</f>
        <v>96000</v>
      </c>
    </row>
    <row r="159" spans="1:23" x14ac:dyDescent="0.25">
      <c r="A159" s="2">
        <v>45400</v>
      </c>
      <c r="B159">
        <f>YEAR(DataClean[[#This Row],[Tanggal]])</f>
        <v>2024</v>
      </c>
      <c r="C159" t="s">
        <v>552</v>
      </c>
      <c r="D159" t="s">
        <v>107</v>
      </c>
      <c r="E159" t="s">
        <v>33</v>
      </c>
      <c r="F159" t="s">
        <v>553</v>
      </c>
      <c r="G159" s="11">
        <v>3</v>
      </c>
      <c r="H159" s="16">
        <v>95000</v>
      </c>
      <c r="I159" s="16">
        <f>DataClean[Harga_Satuan]*0.6</f>
        <v>57000</v>
      </c>
      <c r="J159" s="16">
        <f>DataClean[Harga_Satuan]-DataClean[Modal]</f>
        <v>38000</v>
      </c>
      <c r="K159" s="16">
        <f>DataClean[[#This Row],[Qty]]*DataClean[[#This Row],[Harga_Satuan]]</f>
        <v>285000</v>
      </c>
      <c r="L159" s="16">
        <f>DataClean[Total_Penjualan]-DataClean[Modal]</f>
        <v>228000</v>
      </c>
      <c r="M159" t="s">
        <v>67</v>
      </c>
      <c r="N159" t="s">
        <v>15</v>
      </c>
      <c r="V159" t="s">
        <v>625</v>
      </c>
      <c r="W159" s="16">
        <f>SUMIF(DataClean[Nama_Toko],V159,DataClean[Total_Penjualan])</f>
        <v>75000</v>
      </c>
    </row>
    <row r="160" spans="1:23" x14ac:dyDescent="0.25">
      <c r="A160" s="2">
        <v>45266</v>
      </c>
      <c r="B160">
        <f>YEAR(DataClean[[#This Row],[Tanggal]])</f>
        <v>2023</v>
      </c>
      <c r="C160" t="s">
        <v>554</v>
      </c>
      <c r="D160" t="s">
        <v>555</v>
      </c>
      <c r="E160" t="s">
        <v>12</v>
      </c>
      <c r="F160" t="s">
        <v>556</v>
      </c>
      <c r="G160" s="11">
        <v>8</v>
      </c>
      <c r="H160" s="16">
        <v>3500</v>
      </c>
      <c r="I160" s="16">
        <f>DataClean[Harga_Satuan]*0.6</f>
        <v>2100</v>
      </c>
      <c r="J160" s="16">
        <f>DataClean[Harga_Satuan]-DataClean[Modal]</f>
        <v>1400</v>
      </c>
      <c r="K160" s="16">
        <f>DataClean[[#This Row],[Qty]]*DataClean[[#This Row],[Harga_Satuan]]</f>
        <v>28000</v>
      </c>
      <c r="L160" s="16">
        <f>DataClean[Total_Penjualan]-DataClean[Modal]</f>
        <v>25900</v>
      </c>
      <c r="M160" t="s">
        <v>21</v>
      </c>
      <c r="N160" t="s">
        <v>22</v>
      </c>
      <c r="V160" t="s">
        <v>543</v>
      </c>
      <c r="W160" s="16">
        <f>SUMIF(DataClean[Nama_Toko],V160,DataClean[Total_Penjualan])</f>
        <v>140000</v>
      </c>
    </row>
    <row r="161" spans="1:23" x14ac:dyDescent="0.25">
      <c r="A161" s="2">
        <v>45282</v>
      </c>
      <c r="B161">
        <f>YEAR(DataClean[[#This Row],[Tanggal]])</f>
        <v>2023</v>
      </c>
      <c r="C161" t="s">
        <v>558</v>
      </c>
      <c r="D161" t="s">
        <v>141</v>
      </c>
      <c r="E161" t="s">
        <v>43</v>
      </c>
      <c r="F161" t="s">
        <v>559</v>
      </c>
      <c r="G161" s="11">
        <v>1</v>
      </c>
      <c r="H161" s="16">
        <v>60000</v>
      </c>
      <c r="I161" s="16">
        <f>DataClean[Harga_Satuan]*0.6</f>
        <v>36000</v>
      </c>
      <c r="J161" s="16">
        <f>DataClean[Harga_Satuan]-DataClean[Modal]</f>
        <v>24000</v>
      </c>
      <c r="K161" s="16">
        <f>DataClean[[#This Row],[Qty]]*DataClean[[#This Row],[Harga_Satuan]]</f>
        <v>60000</v>
      </c>
      <c r="L161" s="16">
        <f>DataClean[Total_Penjualan]-DataClean[Modal]</f>
        <v>24000</v>
      </c>
      <c r="M161" t="s">
        <v>53</v>
      </c>
      <c r="N161" t="s">
        <v>15</v>
      </c>
      <c r="V161" t="s">
        <v>422</v>
      </c>
      <c r="W161" s="16">
        <f>SUMIF(DataClean[Nama_Toko],V161,DataClean[Total_Penjualan])</f>
        <v>150000</v>
      </c>
    </row>
    <row r="162" spans="1:23" x14ac:dyDescent="0.25">
      <c r="A162" s="2">
        <v>45044</v>
      </c>
      <c r="B162">
        <f>YEAR(DataClean[[#This Row],[Tanggal]])</f>
        <v>2023</v>
      </c>
      <c r="C162" t="s">
        <v>561</v>
      </c>
      <c r="D162" t="s">
        <v>450</v>
      </c>
      <c r="E162" t="s">
        <v>48</v>
      </c>
      <c r="F162" t="s">
        <v>562</v>
      </c>
      <c r="G162" s="11">
        <v>5</v>
      </c>
      <c r="H162" s="16">
        <v>75000</v>
      </c>
      <c r="I162" s="16">
        <f>DataClean[Harga_Satuan]*0.6</f>
        <v>45000</v>
      </c>
      <c r="J162" s="16">
        <f>DataClean[Harga_Satuan]-DataClean[Modal]</f>
        <v>30000</v>
      </c>
      <c r="K162" s="16">
        <f>DataClean[[#This Row],[Qty]]*DataClean[[#This Row],[Harga_Satuan]]</f>
        <v>375000</v>
      </c>
      <c r="L162" s="16">
        <f>DataClean[Total_Penjualan]-DataClean[Modal]</f>
        <v>330000</v>
      </c>
      <c r="M162" t="s">
        <v>28</v>
      </c>
      <c r="N162" t="s">
        <v>29</v>
      </c>
      <c r="V162" t="s">
        <v>633</v>
      </c>
      <c r="W162" s="16">
        <f>SUMIF(DataClean[Nama_Toko],V162,DataClean[Total_Penjualan])</f>
        <v>90000</v>
      </c>
    </row>
    <row r="163" spans="1:23" x14ac:dyDescent="0.25">
      <c r="A163" s="2">
        <v>45423</v>
      </c>
      <c r="B163">
        <f>YEAR(DataClean[[#This Row],[Tanggal]])</f>
        <v>2024</v>
      </c>
      <c r="C163" t="s">
        <v>563</v>
      </c>
      <c r="D163" t="s">
        <v>564</v>
      </c>
      <c r="E163" t="s">
        <v>12</v>
      </c>
      <c r="F163" t="s">
        <v>565</v>
      </c>
      <c r="G163" s="11">
        <v>10</v>
      </c>
      <c r="H163" s="16">
        <v>12000</v>
      </c>
      <c r="I163" s="16">
        <f>DataClean[Harga_Satuan]*0.6</f>
        <v>7200</v>
      </c>
      <c r="J163" s="16">
        <f>DataClean[Harga_Satuan]-DataClean[Modal]</f>
        <v>4800</v>
      </c>
      <c r="K163" s="16">
        <f>DataClean[[#This Row],[Qty]]*DataClean[[#This Row],[Harga_Satuan]]</f>
        <v>120000</v>
      </c>
      <c r="L163" s="16">
        <f>DataClean[Total_Penjualan]-DataClean[Modal]</f>
        <v>112800</v>
      </c>
      <c r="M163" t="s">
        <v>59</v>
      </c>
      <c r="N163" t="s">
        <v>15</v>
      </c>
      <c r="V163" t="s">
        <v>174</v>
      </c>
      <c r="W163" s="16">
        <f>SUMIF(DataClean[Nama_Toko],V163,DataClean[Total_Penjualan])</f>
        <v>34000</v>
      </c>
    </row>
    <row r="164" spans="1:23" x14ac:dyDescent="0.25">
      <c r="A164" s="2">
        <v>46018</v>
      </c>
      <c r="B164">
        <f>YEAR(DataClean[[#This Row],[Tanggal]])</f>
        <v>2025</v>
      </c>
      <c r="C164" t="s">
        <v>567</v>
      </c>
      <c r="D164" t="s">
        <v>184</v>
      </c>
      <c r="E164" t="s">
        <v>19</v>
      </c>
      <c r="F164" t="s">
        <v>568</v>
      </c>
      <c r="G164" s="11">
        <v>15</v>
      </c>
      <c r="H164" s="16">
        <v>7000</v>
      </c>
      <c r="I164" s="16">
        <f>DataClean[Harga_Satuan]*0.6</f>
        <v>4200</v>
      </c>
      <c r="J164" s="16">
        <f>DataClean[Harga_Satuan]-DataClean[Modal]</f>
        <v>2800</v>
      </c>
      <c r="K164" s="16">
        <f>DataClean[[#This Row],[Qty]]*DataClean[[#This Row],[Harga_Satuan]]</f>
        <v>105000</v>
      </c>
      <c r="L164" s="16">
        <f>DataClean[Total_Penjualan]-DataClean[Modal]</f>
        <v>100800</v>
      </c>
      <c r="M164" t="s">
        <v>14</v>
      </c>
      <c r="N164" t="s">
        <v>22</v>
      </c>
      <c r="V164" t="s">
        <v>364</v>
      </c>
      <c r="W164" s="16">
        <f>SUMIF(DataClean[Nama_Toko],V164,DataClean[Total_Penjualan])</f>
        <v>135000</v>
      </c>
    </row>
    <row r="165" spans="1:23" x14ac:dyDescent="0.25">
      <c r="A165" s="2">
        <v>45129</v>
      </c>
      <c r="B165">
        <f>YEAR(DataClean[[#This Row],[Tanggal]])</f>
        <v>2023</v>
      </c>
      <c r="C165" t="s">
        <v>569</v>
      </c>
      <c r="D165" t="s">
        <v>570</v>
      </c>
      <c r="E165" t="s">
        <v>26</v>
      </c>
      <c r="F165" t="s">
        <v>571</v>
      </c>
      <c r="G165" s="11">
        <v>4</v>
      </c>
      <c r="H165" s="16">
        <v>45000</v>
      </c>
      <c r="I165" s="16">
        <f>DataClean[Harga_Satuan]*0.6</f>
        <v>27000</v>
      </c>
      <c r="J165" s="16">
        <f>DataClean[Harga_Satuan]-DataClean[Modal]</f>
        <v>18000</v>
      </c>
      <c r="K165" s="16">
        <f>DataClean[[#This Row],[Qty]]*DataClean[[#This Row],[Harga_Satuan]]</f>
        <v>180000</v>
      </c>
      <c r="L165" s="16">
        <f>DataClean[Total_Penjualan]-DataClean[Modal]</f>
        <v>153000</v>
      </c>
      <c r="M165" t="s">
        <v>45</v>
      </c>
      <c r="N165" t="s">
        <v>29</v>
      </c>
      <c r="V165" t="s">
        <v>110</v>
      </c>
      <c r="W165" s="16">
        <f>SUMIF(DataClean[Nama_Toko],V165,DataClean[Total_Penjualan])</f>
        <v>181500</v>
      </c>
    </row>
    <row r="166" spans="1:23" x14ac:dyDescent="0.25">
      <c r="A166" s="2">
        <v>45034</v>
      </c>
      <c r="B166">
        <f>YEAR(DataClean[[#This Row],[Tanggal]])</f>
        <v>2023</v>
      </c>
      <c r="C166" t="s">
        <v>573</v>
      </c>
      <c r="D166" t="s">
        <v>288</v>
      </c>
      <c r="E166" t="s">
        <v>33</v>
      </c>
      <c r="F166" t="s">
        <v>574</v>
      </c>
      <c r="G166" s="11">
        <v>2</v>
      </c>
      <c r="H166" s="16">
        <v>38000</v>
      </c>
      <c r="I166" s="16">
        <f>DataClean[Harga_Satuan]*0.6</f>
        <v>22800</v>
      </c>
      <c r="J166" s="16">
        <f>DataClean[Harga_Satuan]-DataClean[Modal]</f>
        <v>15200</v>
      </c>
      <c r="K166" s="16">
        <f>DataClean[[#This Row],[Qty]]*DataClean[[#This Row],[Harga_Satuan]]</f>
        <v>76000</v>
      </c>
      <c r="L166" s="16">
        <f>DataClean[Total_Penjualan]-DataClean[Modal]</f>
        <v>53200</v>
      </c>
      <c r="M166" t="s">
        <v>71</v>
      </c>
      <c r="N166" t="s">
        <v>15</v>
      </c>
      <c r="V166" t="s">
        <v>137</v>
      </c>
      <c r="W166" s="16">
        <f>SUMIF(DataClean[Nama_Toko],V166,DataClean[Total_Penjualan])</f>
        <v>105000</v>
      </c>
    </row>
    <row r="167" spans="1:23" x14ac:dyDescent="0.25">
      <c r="A167" s="2">
        <v>45795</v>
      </c>
      <c r="B167">
        <f>YEAR(DataClean[[#This Row],[Tanggal]])</f>
        <v>2025</v>
      </c>
      <c r="C167" t="s">
        <v>575</v>
      </c>
      <c r="D167" t="s">
        <v>576</v>
      </c>
      <c r="E167" t="s">
        <v>12</v>
      </c>
      <c r="F167" t="s">
        <v>577</v>
      </c>
      <c r="G167" s="11">
        <v>6</v>
      </c>
      <c r="H167" s="16">
        <v>20000</v>
      </c>
      <c r="I167" s="16">
        <f>DataClean[Harga_Satuan]*0.6</f>
        <v>12000</v>
      </c>
      <c r="J167" s="16">
        <f>DataClean[Harga_Satuan]-DataClean[Modal]</f>
        <v>8000</v>
      </c>
      <c r="K167" s="16">
        <f>DataClean[[#This Row],[Qty]]*DataClean[[#This Row],[Harga_Satuan]]</f>
        <v>120000</v>
      </c>
      <c r="L167" s="16">
        <f>DataClean[Total_Penjualan]-DataClean[Modal]</f>
        <v>108000</v>
      </c>
      <c r="M167" t="s">
        <v>67</v>
      </c>
      <c r="N167" t="s">
        <v>22</v>
      </c>
      <c r="V167" t="s">
        <v>555</v>
      </c>
      <c r="W167" s="16">
        <f>SUMIF(DataClean[Nama_Toko],V167,DataClean[Total_Penjualan])</f>
        <v>28000</v>
      </c>
    </row>
    <row r="168" spans="1:23" x14ac:dyDescent="0.25">
      <c r="A168" s="2">
        <v>44988</v>
      </c>
      <c r="B168">
        <f>YEAR(DataClean[[#This Row],[Tanggal]])</f>
        <v>2023</v>
      </c>
      <c r="C168" t="s">
        <v>578</v>
      </c>
      <c r="D168" t="s">
        <v>551</v>
      </c>
      <c r="E168" t="s">
        <v>43</v>
      </c>
      <c r="F168" t="s">
        <v>579</v>
      </c>
      <c r="G168" s="11">
        <v>3</v>
      </c>
      <c r="H168" s="16">
        <v>50000</v>
      </c>
      <c r="I168" s="16">
        <f>DataClean[Harga_Satuan]*0.6</f>
        <v>30000</v>
      </c>
      <c r="J168" s="16">
        <f>DataClean[Harga_Satuan]-DataClean[Modal]</f>
        <v>20000</v>
      </c>
      <c r="K168" s="16">
        <f>DataClean[[#This Row],[Qty]]*DataClean[[#This Row],[Harga_Satuan]]</f>
        <v>150000</v>
      </c>
      <c r="L168" s="16">
        <f>DataClean[Total_Penjualan]-DataClean[Modal]</f>
        <v>120000</v>
      </c>
      <c r="M168" t="s">
        <v>21</v>
      </c>
      <c r="N168" t="s">
        <v>15</v>
      </c>
      <c r="V168" t="s">
        <v>649</v>
      </c>
      <c r="W168" s="16">
        <f>SUMIF(DataClean[Nama_Toko],V168,DataClean[Total_Penjualan])</f>
        <v>100000</v>
      </c>
    </row>
    <row r="169" spans="1:23" x14ac:dyDescent="0.25">
      <c r="A169" s="2">
        <v>45348</v>
      </c>
      <c r="B169">
        <f>YEAR(DataClean[[#This Row],[Tanggal]])</f>
        <v>2024</v>
      </c>
      <c r="C169" t="s">
        <v>581</v>
      </c>
      <c r="D169" t="s">
        <v>420</v>
      </c>
      <c r="E169" t="s">
        <v>48</v>
      </c>
      <c r="F169" t="s">
        <v>582</v>
      </c>
      <c r="G169" s="11">
        <v>1</v>
      </c>
      <c r="H169" s="16">
        <v>175000</v>
      </c>
      <c r="I169" s="16">
        <f>DataClean[Harga_Satuan]*0.6</f>
        <v>105000</v>
      </c>
      <c r="J169" s="16">
        <f>DataClean[Harga_Satuan]-DataClean[Modal]</f>
        <v>70000</v>
      </c>
      <c r="K169" s="16">
        <f>DataClean[[#This Row],[Qty]]*DataClean[[#This Row],[Harga_Satuan]]</f>
        <v>175000</v>
      </c>
      <c r="L169" s="16">
        <f>DataClean[Total_Penjualan]-DataClean[Modal]</f>
        <v>70000</v>
      </c>
      <c r="M169" t="s">
        <v>53</v>
      </c>
      <c r="N169" t="s">
        <v>29</v>
      </c>
      <c r="V169" t="s">
        <v>253</v>
      </c>
      <c r="W169" s="16">
        <f>SUMIF(DataClean[Nama_Toko],V169,DataClean[Total_Penjualan])</f>
        <v>100000</v>
      </c>
    </row>
    <row r="170" spans="1:23" x14ac:dyDescent="0.25">
      <c r="A170" s="2">
        <v>45553</v>
      </c>
      <c r="B170">
        <f>YEAR(DataClean[[#This Row],[Tanggal]])</f>
        <v>2024</v>
      </c>
      <c r="C170" t="s">
        <v>583</v>
      </c>
      <c r="D170" t="s">
        <v>584</v>
      </c>
      <c r="E170" t="s">
        <v>12</v>
      </c>
      <c r="F170" t="s">
        <v>585</v>
      </c>
      <c r="G170" s="11">
        <v>4</v>
      </c>
      <c r="H170" s="16">
        <v>18000</v>
      </c>
      <c r="I170" s="16">
        <f>DataClean[Harga_Satuan]*0.6</f>
        <v>10800</v>
      </c>
      <c r="J170" s="16">
        <f>DataClean[Harga_Satuan]-DataClean[Modal]</f>
        <v>7200</v>
      </c>
      <c r="K170" s="16">
        <f>DataClean[[#This Row],[Qty]]*DataClean[[#This Row],[Harga_Satuan]]</f>
        <v>72000</v>
      </c>
      <c r="L170" s="16">
        <f>DataClean[Total_Penjualan]-DataClean[Modal]</f>
        <v>61200</v>
      </c>
      <c r="M170" t="s">
        <v>28</v>
      </c>
      <c r="N170" t="s">
        <v>15</v>
      </c>
      <c r="V170" t="s">
        <v>637</v>
      </c>
      <c r="W170" s="16">
        <f>SUMIF(DataClean[Nama_Toko],V170,DataClean[Total_Penjualan])</f>
        <v>96000</v>
      </c>
    </row>
    <row r="171" spans="1:23" x14ac:dyDescent="0.25">
      <c r="A171" s="2">
        <v>45834</v>
      </c>
      <c r="B171">
        <f>YEAR(DataClean[[#This Row],[Tanggal]])</f>
        <v>2025</v>
      </c>
      <c r="C171" t="s">
        <v>586</v>
      </c>
      <c r="D171" t="s">
        <v>180</v>
      </c>
      <c r="E171" t="s">
        <v>19</v>
      </c>
      <c r="F171" t="s">
        <v>587</v>
      </c>
      <c r="G171" s="11">
        <v>10</v>
      </c>
      <c r="H171" s="16">
        <v>9000</v>
      </c>
      <c r="I171" s="16">
        <f>DataClean[Harga_Satuan]*0.6</f>
        <v>5400</v>
      </c>
      <c r="J171" s="16">
        <f>DataClean[Harga_Satuan]-DataClean[Modal]</f>
        <v>3600</v>
      </c>
      <c r="K171" s="16">
        <f>DataClean[[#This Row],[Qty]]*DataClean[[#This Row],[Harga_Satuan]]</f>
        <v>90000</v>
      </c>
      <c r="L171" s="16">
        <f>DataClean[Total_Penjualan]-DataClean[Modal]</f>
        <v>84600</v>
      </c>
      <c r="M171" t="s">
        <v>39</v>
      </c>
      <c r="N171" t="s">
        <v>22</v>
      </c>
      <c r="V171" t="s">
        <v>657</v>
      </c>
      <c r="W171" s="16">
        <f>SUMIF(DataClean[Nama_Toko],V171,DataClean[Total_Penjualan])</f>
        <v>75000</v>
      </c>
    </row>
    <row r="172" spans="1:23" x14ac:dyDescent="0.25">
      <c r="A172" s="2">
        <v>45004</v>
      </c>
      <c r="B172">
        <f>YEAR(DataClean[[#This Row],[Tanggal]])</f>
        <v>2023</v>
      </c>
      <c r="C172" t="s">
        <v>588</v>
      </c>
      <c r="D172" t="s">
        <v>589</v>
      </c>
      <c r="E172" t="s">
        <v>26</v>
      </c>
      <c r="F172" t="s">
        <v>590</v>
      </c>
      <c r="G172" s="11">
        <v>3</v>
      </c>
      <c r="H172" s="16">
        <v>40000</v>
      </c>
      <c r="I172" s="16">
        <f>DataClean[Harga_Satuan]*0.6</f>
        <v>24000</v>
      </c>
      <c r="J172" s="16">
        <f>DataClean[Harga_Satuan]-DataClean[Modal]</f>
        <v>16000</v>
      </c>
      <c r="K172" s="16">
        <f>DataClean[[#This Row],[Qty]]*DataClean[[#This Row],[Harga_Satuan]]</f>
        <v>120000</v>
      </c>
      <c r="L172" s="16">
        <f>DataClean[Total_Penjualan]-DataClean[Modal]</f>
        <v>96000</v>
      </c>
      <c r="M172" t="s">
        <v>93</v>
      </c>
      <c r="N172" t="s">
        <v>29</v>
      </c>
      <c r="V172" t="s">
        <v>290</v>
      </c>
      <c r="W172" s="16">
        <f>SUMIF(DataClean[Nama_Toko],V172,DataClean[Total_Penjualan])</f>
        <v>340000</v>
      </c>
    </row>
    <row r="173" spans="1:23" x14ac:dyDescent="0.25">
      <c r="A173" s="2">
        <v>45609</v>
      </c>
      <c r="B173">
        <f>YEAR(DataClean[[#This Row],[Tanggal]])</f>
        <v>2024</v>
      </c>
      <c r="C173" t="s">
        <v>591</v>
      </c>
      <c r="D173" t="s">
        <v>328</v>
      </c>
      <c r="E173" t="s">
        <v>33</v>
      </c>
      <c r="F173" t="s">
        <v>592</v>
      </c>
      <c r="G173" s="11">
        <v>12</v>
      </c>
      <c r="H173" s="16">
        <v>10000</v>
      </c>
      <c r="I173" s="16">
        <f>DataClean[Harga_Satuan]*0.6</f>
        <v>6000</v>
      </c>
      <c r="J173" s="16">
        <f>DataClean[Harga_Satuan]-DataClean[Modal]</f>
        <v>4000</v>
      </c>
      <c r="K173" s="16">
        <f>DataClean[[#This Row],[Qty]]*DataClean[[#This Row],[Harga_Satuan]]</f>
        <v>120000</v>
      </c>
      <c r="L173" s="16">
        <f>DataClean[Total_Penjualan]-DataClean[Modal]</f>
        <v>114000</v>
      </c>
      <c r="M173" t="s">
        <v>45</v>
      </c>
      <c r="N173" t="s">
        <v>15</v>
      </c>
      <c r="V173" t="s">
        <v>602</v>
      </c>
      <c r="W173" s="16">
        <f>SUMIF(DataClean[Nama_Toko],V173,DataClean[Total_Penjualan])</f>
        <v>80000</v>
      </c>
    </row>
    <row r="174" spans="1:23" x14ac:dyDescent="0.25">
      <c r="A174" s="2">
        <v>45961</v>
      </c>
      <c r="B174">
        <f>YEAR(DataClean[[#This Row],[Tanggal]])</f>
        <v>2025</v>
      </c>
      <c r="C174" t="s">
        <v>593</v>
      </c>
      <c r="D174" t="s">
        <v>594</v>
      </c>
      <c r="E174" t="s">
        <v>12</v>
      </c>
      <c r="F174" t="s">
        <v>595</v>
      </c>
      <c r="G174" s="11">
        <v>15</v>
      </c>
      <c r="H174" s="16">
        <v>7000</v>
      </c>
      <c r="I174" s="16">
        <f>DataClean[Harga_Satuan]*0.6</f>
        <v>4200</v>
      </c>
      <c r="J174" s="16">
        <f>DataClean[Harga_Satuan]-DataClean[Modal]</f>
        <v>2800</v>
      </c>
      <c r="K174" s="16">
        <f>DataClean[[#This Row],[Qty]]*DataClean[[#This Row],[Harga_Satuan]]</f>
        <v>105000</v>
      </c>
      <c r="L174" s="16">
        <f>DataClean[Total_Penjualan]-DataClean[Modal]</f>
        <v>100800</v>
      </c>
      <c r="M174" t="s">
        <v>71</v>
      </c>
      <c r="N174" t="s">
        <v>22</v>
      </c>
      <c r="V174" t="s">
        <v>351</v>
      </c>
      <c r="W174" s="16">
        <f>SUMIF(DataClean[Nama_Toko],V174,DataClean[Total_Penjualan])</f>
        <v>191000</v>
      </c>
    </row>
    <row r="175" spans="1:23" x14ac:dyDescent="0.25">
      <c r="A175" s="2">
        <v>45900</v>
      </c>
      <c r="B175">
        <f>YEAR(DataClean[[#This Row],[Tanggal]])</f>
        <v>2025</v>
      </c>
      <c r="C175" t="s">
        <v>597</v>
      </c>
      <c r="D175" t="s">
        <v>509</v>
      </c>
      <c r="E175" t="s">
        <v>43</v>
      </c>
      <c r="F175" t="s">
        <v>598</v>
      </c>
      <c r="G175" s="11">
        <v>8</v>
      </c>
      <c r="H175" s="16">
        <v>45000</v>
      </c>
      <c r="I175" s="16">
        <f>DataClean[Harga_Satuan]*0.6</f>
        <v>27000</v>
      </c>
      <c r="J175" s="16">
        <f>DataClean[Harga_Satuan]-DataClean[Modal]</f>
        <v>18000</v>
      </c>
      <c r="K175" s="16">
        <f>DataClean[[#This Row],[Qty]]*DataClean[[#This Row],[Harga_Satuan]]</f>
        <v>360000</v>
      </c>
      <c r="L175" s="16">
        <f>DataClean[Total_Penjualan]-DataClean[Modal]</f>
        <v>333000</v>
      </c>
      <c r="M175" t="s">
        <v>67</v>
      </c>
      <c r="N175" t="s">
        <v>15</v>
      </c>
      <c r="V175" t="s">
        <v>188</v>
      </c>
      <c r="W175" s="16">
        <f>SUMIF(DataClean[Nama_Toko],V175,DataClean[Total_Penjualan])</f>
        <v>98000</v>
      </c>
    </row>
    <row r="176" spans="1:23" x14ac:dyDescent="0.25">
      <c r="A176" s="2">
        <v>45499</v>
      </c>
      <c r="B176">
        <f>YEAR(DataClean[[#This Row],[Tanggal]])</f>
        <v>2024</v>
      </c>
      <c r="C176" t="s">
        <v>599</v>
      </c>
      <c r="D176" t="s">
        <v>396</v>
      </c>
      <c r="E176" t="s">
        <v>48</v>
      </c>
      <c r="F176" t="s">
        <v>600</v>
      </c>
      <c r="G176" s="11">
        <v>2</v>
      </c>
      <c r="H176" s="16">
        <v>85000</v>
      </c>
      <c r="I176" s="16">
        <f>DataClean[Harga_Satuan]*0.6</f>
        <v>51000</v>
      </c>
      <c r="J176" s="16">
        <f>DataClean[Harga_Satuan]-DataClean[Modal]</f>
        <v>34000</v>
      </c>
      <c r="K176" s="16">
        <f>DataClean[[#This Row],[Qty]]*DataClean[[#This Row],[Harga_Satuan]]</f>
        <v>170000</v>
      </c>
      <c r="L176" s="16">
        <f>DataClean[Total_Penjualan]-DataClean[Modal]</f>
        <v>119000</v>
      </c>
      <c r="M176" t="s">
        <v>21</v>
      </c>
      <c r="N176" t="s">
        <v>29</v>
      </c>
      <c r="V176" t="s">
        <v>80</v>
      </c>
      <c r="W176" s="16">
        <f>SUMIF(DataClean[Nama_Toko],V176,DataClean[Total_Penjualan])</f>
        <v>40000</v>
      </c>
    </row>
    <row r="177" spans="1:23" x14ac:dyDescent="0.25">
      <c r="A177" s="2">
        <v>45470</v>
      </c>
      <c r="B177">
        <f>YEAR(DataClean[[#This Row],[Tanggal]])</f>
        <v>2024</v>
      </c>
      <c r="C177" t="s">
        <v>601</v>
      </c>
      <c r="D177" t="s">
        <v>602</v>
      </c>
      <c r="E177" t="s">
        <v>12</v>
      </c>
      <c r="F177" t="s">
        <v>603</v>
      </c>
      <c r="G177" s="11">
        <v>5</v>
      </c>
      <c r="H177" s="16">
        <v>16000</v>
      </c>
      <c r="I177" s="16">
        <f>DataClean[Harga_Satuan]*0.6</f>
        <v>9600</v>
      </c>
      <c r="J177" s="16">
        <f>DataClean[Harga_Satuan]-DataClean[Modal]</f>
        <v>6400</v>
      </c>
      <c r="K177" s="16">
        <f>DataClean[[#This Row],[Qty]]*DataClean[[#This Row],[Harga_Satuan]]</f>
        <v>80000</v>
      </c>
      <c r="L177" s="16">
        <f>DataClean[Total_Penjualan]-DataClean[Modal]</f>
        <v>70400</v>
      </c>
      <c r="M177" t="s">
        <v>53</v>
      </c>
      <c r="N177" t="s">
        <v>15</v>
      </c>
      <c r="V177" t="s">
        <v>200</v>
      </c>
      <c r="W177" s="16">
        <f>SUMIF(DataClean[Nama_Toko],V177,DataClean[Total_Penjualan])</f>
        <v>132000</v>
      </c>
    </row>
    <row r="178" spans="1:23" x14ac:dyDescent="0.25">
      <c r="A178" s="2">
        <v>45963</v>
      </c>
      <c r="B178">
        <f>YEAR(DataClean[[#This Row],[Tanggal]])</f>
        <v>2025</v>
      </c>
      <c r="C178" t="s">
        <v>604</v>
      </c>
      <c r="D178" t="s">
        <v>208</v>
      </c>
      <c r="E178" t="s">
        <v>19</v>
      </c>
      <c r="F178" t="s">
        <v>605</v>
      </c>
      <c r="G178" s="11">
        <v>6</v>
      </c>
      <c r="H178" s="16">
        <v>15000</v>
      </c>
      <c r="I178" s="16">
        <f>DataClean[Harga_Satuan]*0.6</f>
        <v>9000</v>
      </c>
      <c r="J178" s="16">
        <f>DataClean[Harga_Satuan]-DataClean[Modal]</f>
        <v>6000</v>
      </c>
      <c r="K178" s="16">
        <f>DataClean[[#This Row],[Qty]]*DataClean[[#This Row],[Harga_Satuan]]</f>
        <v>90000</v>
      </c>
      <c r="L178" s="16">
        <f>DataClean[Total_Penjualan]-DataClean[Modal]</f>
        <v>81000</v>
      </c>
      <c r="M178" t="s">
        <v>28</v>
      </c>
      <c r="N178" t="s">
        <v>22</v>
      </c>
      <c r="V178" t="s">
        <v>655</v>
      </c>
      <c r="W178" s="16">
        <f>SUMIF(DataClean[Nama_Toko],V178,DataClean[Total_Penjualan])</f>
        <v>180000</v>
      </c>
    </row>
    <row r="179" spans="1:23" x14ac:dyDescent="0.25">
      <c r="A179" s="2">
        <v>45309</v>
      </c>
      <c r="B179">
        <f>YEAR(DataClean[[#This Row],[Tanggal]])</f>
        <v>2024</v>
      </c>
      <c r="C179" t="s">
        <v>606</v>
      </c>
      <c r="D179" t="s">
        <v>206</v>
      </c>
      <c r="E179" t="s">
        <v>26</v>
      </c>
      <c r="F179" t="s">
        <v>607</v>
      </c>
      <c r="G179" s="11">
        <v>1</v>
      </c>
      <c r="H179" s="16">
        <v>750000</v>
      </c>
      <c r="I179" s="16">
        <f>DataClean[Harga_Satuan]*0.6</f>
        <v>450000</v>
      </c>
      <c r="J179" s="16">
        <f>DataClean[Harga_Satuan]-DataClean[Modal]</f>
        <v>300000</v>
      </c>
      <c r="K179" s="16">
        <f>DataClean[[#This Row],[Qty]]*DataClean[[#This Row],[Harga_Satuan]]</f>
        <v>750000</v>
      </c>
      <c r="L179" s="16">
        <f>DataClean[Total_Penjualan]-DataClean[Modal]</f>
        <v>300000</v>
      </c>
      <c r="M179" t="s">
        <v>59</v>
      </c>
      <c r="N179" t="s">
        <v>29</v>
      </c>
      <c r="V179" t="s">
        <v>676</v>
      </c>
      <c r="W179" s="16">
        <f>SUMIF(DataClean[Nama_Toko],V179,DataClean[Total_Penjualan])</f>
        <v>190000</v>
      </c>
    </row>
    <row r="180" spans="1:23" x14ac:dyDescent="0.25">
      <c r="A180" s="2">
        <v>45552</v>
      </c>
      <c r="B180">
        <f>YEAR(DataClean[[#This Row],[Tanggal]])</f>
        <v>2024</v>
      </c>
      <c r="C180" t="s">
        <v>608</v>
      </c>
      <c r="D180" t="s">
        <v>338</v>
      </c>
      <c r="E180" t="s">
        <v>33</v>
      </c>
      <c r="F180" t="s">
        <v>609</v>
      </c>
      <c r="G180" s="11">
        <v>2</v>
      </c>
      <c r="H180" s="16">
        <v>70000</v>
      </c>
      <c r="I180" s="16">
        <f>DataClean[Harga_Satuan]*0.6</f>
        <v>42000</v>
      </c>
      <c r="J180" s="16">
        <f>DataClean[Harga_Satuan]-DataClean[Modal]</f>
        <v>28000</v>
      </c>
      <c r="K180" s="16">
        <f>DataClean[[#This Row],[Qty]]*DataClean[[#This Row],[Harga_Satuan]]</f>
        <v>140000</v>
      </c>
      <c r="L180" s="16">
        <f>DataClean[Total_Penjualan]-DataClean[Modal]</f>
        <v>98000</v>
      </c>
      <c r="M180" t="s">
        <v>14</v>
      </c>
      <c r="N180" t="s">
        <v>15</v>
      </c>
      <c r="V180" t="s">
        <v>629</v>
      </c>
      <c r="W180" s="16">
        <f>SUMIF(DataClean[Nama_Toko],V180,DataClean[Total_Penjualan])</f>
        <v>96000</v>
      </c>
    </row>
    <row r="181" spans="1:23" x14ac:dyDescent="0.25">
      <c r="A181" s="2">
        <v>45792</v>
      </c>
      <c r="B181">
        <f>YEAR(DataClean[[#This Row],[Tanggal]])</f>
        <v>2025</v>
      </c>
      <c r="C181" t="s">
        <v>610</v>
      </c>
      <c r="D181" t="s">
        <v>611</v>
      </c>
      <c r="E181" t="s">
        <v>12</v>
      </c>
      <c r="F181" t="s">
        <v>612</v>
      </c>
      <c r="G181" s="11">
        <v>4</v>
      </c>
      <c r="H181" s="16">
        <v>18000</v>
      </c>
      <c r="I181" s="16">
        <f>DataClean[Harga_Satuan]*0.6</f>
        <v>10800</v>
      </c>
      <c r="J181" s="16">
        <f>DataClean[Harga_Satuan]-DataClean[Modal]</f>
        <v>7200</v>
      </c>
      <c r="K181" s="16">
        <f>DataClean[[#This Row],[Qty]]*DataClean[[#This Row],[Harga_Satuan]]</f>
        <v>72000</v>
      </c>
      <c r="L181" s="16">
        <f>DataClean[Total_Penjualan]-DataClean[Modal]</f>
        <v>61200</v>
      </c>
      <c r="M181" t="s">
        <v>45</v>
      </c>
      <c r="N181" t="s">
        <v>22</v>
      </c>
      <c r="V181" t="s">
        <v>672</v>
      </c>
      <c r="W181" s="16">
        <f>SUMIF(DataClean[Nama_Toko],V181,DataClean[Total_Penjualan])</f>
        <v>102000</v>
      </c>
    </row>
    <row r="182" spans="1:23" x14ac:dyDescent="0.25">
      <c r="A182" s="2">
        <v>45408</v>
      </c>
      <c r="B182">
        <f>YEAR(DataClean[[#This Row],[Tanggal]])</f>
        <v>2024</v>
      </c>
      <c r="C182" t="s">
        <v>613</v>
      </c>
      <c r="D182" t="s">
        <v>513</v>
      </c>
      <c r="E182" t="s">
        <v>43</v>
      </c>
      <c r="F182" t="s">
        <v>614</v>
      </c>
      <c r="G182" s="11">
        <v>3</v>
      </c>
      <c r="H182" s="16">
        <v>140000</v>
      </c>
      <c r="I182" s="16">
        <f>DataClean[Harga_Satuan]*0.6</f>
        <v>84000</v>
      </c>
      <c r="J182" s="16">
        <f>DataClean[Harga_Satuan]-DataClean[Modal]</f>
        <v>56000</v>
      </c>
      <c r="K182" s="16">
        <f>DataClean[[#This Row],[Qty]]*DataClean[[#This Row],[Harga_Satuan]]</f>
        <v>420000</v>
      </c>
      <c r="L182" s="16">
        <f>DataClean[Total_Penjualan]-DataClean[Modal]</f>
        <v>336000</v>
      </c>
      <c r="M182" t="s">
        <v>71</v>
      </c>
      <c r="N182" t="s">
        <v>15</v>
      </c>
      <c r="V182" t="s">
        <v>301</v>
      </c>
      <c r="W182" s="16">
        <f>SUMIF(DataClean[Nama_Toko],V182,DataClean[Total_Penjualan])</f>
        <v>120000</v>
      </c>
    </row>
    <row r="183" spans="1:23" x14ac:dyDescent="0.25">
      <c r="A183" s="2">
        <v>45501</v>
      </c>
      <c r="B183">
        <f>YEAR(DataClean[[#This Row],[Tanggal]])</f>
        <v>2024</v>
      </c>
      <c r="C183" t="s">
        <v>615</v>
      </c>
      <c r="D183" t="s">
        <v>434</v>
      </c>
      <c r="E183" t="s">
        <v>48</v>
      </c>
      <c r="F183" t="s">
        <v>616</v>
      </c>
      <c r="G183" s="11">
        <v>1</v>
      </c>
      <c r="H183" s="16">
        <v>120000</v>
      </c>
      <c r="I183" s="16">
        <f>DataClean[Harga_Satuan]*0.6</f>
        <v>72000</v>
      </c>
      <c r="J183" s="16">
        <f>DataClean[Harga_Satuan]-DataClean[Modal]</f>
        <v>48000</v>
      </c>
      <c r="K183" s="16">
        <f>DataClean[[#This Row],[Qty]]*DataClean[[#This Row],[Harga_Satuan]]</f>
        <v>120000</v>
      </c>
      <c r="L183" s="16">
        <f>DataClean[Total_Penjualan]-DataClean[Modal]</f>
        <v>48000</v>
      </c>
      <c r="M183" t="s">
        <v>67</v>
      </c>
      <c r="N183" t="s">
        <v>29</v>
      </c>
      <c r="V183" t="s">
        <v>647</v>
      </c>
      <c r="W183" s="16">
        <f>SUMIF(DataClean[Nama_Toko],V183,DataClean[Total_Penjualan])</f>
        <v>400000</v>
      </c>
    </row>
    <row r="184" spans="1:23" x14ac:dyDescent="0.25">
      <c r="A184" s="2">
        <v>45240</v>
      </c>
      <c r="B184">
        <f>YEAR(DataClean[[#This Row],[Tanggal]])</f>
        <v>2023</v>
      </c>
      <c r="C184" t="s">
        <v>617</v>
      </c>
      <c r="D184" t="s">
        <v>580</v>
      </c>
      <c r="E184" t="s">
        <v>12</v>
      </c>
      <c r="F184" t="s">
        <v>618</v>
      </c>
      <c r="G184" s="11">
        <v>5</v>
      </c>
      <c r="H184" s="16">
        <v>55000</v>
      </c>
      <c r="I184" s="16">
        <f>DataClean[Harga_Satuan]*0.6</f>
        <v>33000</v>
      </c>
      <c r="J184" s="16">
        <f>DataClean[Harga_Satuan]-DataClean[Modal]</f>
        <v>22000</v>
      </c>
      <c r="K184" s="16">
        <f>DataClean[[#This Row],[Qty]]*DataClean[[#This Row],[Harga_Satuan]]</f>
        <v>275000</v>
      </c>
      <c r="L184" s="16">
        <f>DataClean[Total_Penjualan]-DataClean[Modal]</f>
        <v>242000</v>
      </c>
      <c r="M184" t="s">
        <v>21</v>
      </c>
      <c r="N184" t="s">
        <v>15</v>
      </c>
      <c r="V184" t="s">
        <v>473</v>
      </c>
      <c r="W184" s="16">
        <f>SUMIF(DataClean[Nama_Toko],V184,DataClean[Total_Penjualan])</f>
        <v>70000</v>
      </c>
    </row>
    <row r="185" spans="1:23" x14ac:dyDescent="0.25">
      <c r="A185" s="2">
        <v>45743</v>
      </c>
      <c r="B185">
        <f>YEAR(DataClean[[#This Row],[Tanggal]])</f>
        <v>2025</v>
      </c>
      <c r="C185" t="s">
        <v>619</v>
      </c>
      <c r="D185" t="s">
        <v>119</v>
      </c>
      <c r="E185" t="s">
        <v>19</v>
      </c>
      <c r="F185" t="s">
        <v>620</v>
      </c>
      <c r="G185" s="11">
        <v>4</v>
      </c>
      <c r="H185" s="16">
        <v>35000</v>
      </c>
      <c r="I185" s="16">
        <f>DataClean[Harga_Satuan]*0.6</f>
        <v>21000</v>
      </c>
      <c r="J185" s="16">
        <f>DataClean[Harga_Satuan]-DataClean[Modal]</f>
        <v>14000</v>
      </c>
      <c r="K185" s="16">
        <f>DataClean[[#This Row],[Qty]]*DataClean[[#This Row],[Harga_Satuan]]</f>
        <v>140000</v>
      </c>
      <c r="L185" s="16">
        <f>DataClean[Total_Penjualan]-DataClean[Modal]</f>
        <v>119000</v>
      </c>
      <c r="M185" t="s">
        <v>53</v>
      </c>
      <c r="N185" t="s">
        <v>22</v>
      </c>
      <c r="V185" t="s">
        <v>665</v>
      </c>
      <c r="W185" s="16">
        <f>SUMIF(DataClean[Nama_Toko],V185,DataClean[Total_Penjualan])</f>
        <v>200000</v>
      </c>
    </row>
    <row r="186" spans="1:23" x14ac:dyDescent="0.25">
      <c r="A186" s="2">
        <v>45107</v>
      </c>
      <c r="B186">
        <f>YEAR(DataClean[[#This Row],[Tanggal]])</f>
        <v>2023</v>
      </c>
      <c r="C186" t="s">
        <v>622</v>
      </c>
      <c r="D186" t="s">
        <v>623</v>
      </c>
      <c r="E186" t="s">
        <v>26</v>
      </c>
      <c r="F186" t="s">
        <v>624</v>
      </c>
      <c r="G186" s="11">
        <v>2</v>
      </c>
      <c r="H186" s="16">
        <v>30000</v>
      </c>
      <c r="I186" s="16">
        <f>DataClean[Harga_Satuan]*0.6</f>
        <v>18000</v>
      </c>
      <c r="J186" s="16">
        <f>DataClean[Harga_Satuan]-DataClean[Modal]</f>
        <v>12000</v>
      </c>
      <c r="K186" s="16">
        <f>DataClean[[#This Row],[Qty]]*DataClean[[#This Row],[Harga_Satuan]]</f>
        <v>60000</v>
      </c>
      <c r="L186" s="16">
        <f>DataClean[Total_Penjualan]-DataClean[Modal]</f>
        <v>42000</v>
      </c>
      <c r="M186" t="s">
        <v>28</v>
      </c>
      <c r="N186" t="s">
        <v>29</v>
      </c>
      <c r="V186" t="s">
        <v>611</v>
      </c>
      <c r="W186" s="16">
        <f>SUMIF(DataClean[Nama_Toko],V186,DataClean[Total_Penjualan])</f>
        <v>162000</v>
      </c>
    </row>
    <row r="187" spans="1:23" x14ac:dyDescent="0.25">
      <c r="A187" s="2">
        <v>45268</v>
      </c>
      <c r="B187">
        <f>YEAR(DataClean[[#This Row],[Tanggal]])</f>
        <v>2023</v>
      </c>
      <c r="C187" t="s">
        <v>626</v>
      </c>
      <c r="D187" t="s">
        <v>303</v>
      </c>
      <c r="E187" t="s">
        <v>33</v>
      </c>
      <c r="F187" t="s">
        <v>627</v>
      </c>
      <c r="G187" s="11">
        <v>6</v>
      </c>
      <c r="H187" s="16">
        <v>25000</v>
      </c>
      <c r="I187" s="16">
        <f>DataClean[Harga_Satuan]*0.6</f>
        <v>15000</v>
      </c>
      <c r="J187" s="16">
        <f>DataClean[Harga_Satuan]-DataClean[Modal]</f>
        <v>10000</v>
      </c>
      <c r="K187" s="16">
        <f>DataClean[[#This Row],[Qty]]*DataClean[[#This Row],[Harga_Satuan]]</f>
        <v>150000</v>
      </c>
      <c r="L187" s="16">
        <f>DataClean[Total_Penjualan]-DataClean[Modal]</f>
        <v>135000</v>
      </c>
      <c r="M187" t="s">
        <v>39</v>
      </c>
      <c r="N187" t="s">
        <v>15</v>
      </c>
      <c r="V187" t="s">
        <v>340</v>
      </c>
      <c r="W187" s="16">
        <f>SUMIF(DataClean[Nama_Toko],V187,DataClean[Total_Penjualan])</f>
        <v>385000</v>
      </c>
    </row>
    <row r="188" spans="1:23" x14ac:dyDescent="0.25">
      <c r="A188" s="2">
        <v>45348</v>
      </c>
      <c r="B188">
        <f>YEAR(DataClean[[#This Row],[Tanggal]])</f>
        <v>2024</v>
      </c>
      <c r="C188" t="s">
        <v>628</v>
      </c>
      <c r="D188" t="s">
        <v>629</v>
      </c>
      <c r="E188" t="s">
        <v>12</v>
      </c>
      <c r="F188" t="s">
        <v>630</v>
      </c>
      <c r="G188" s="11">
        <v>3</v>
      </c>
      <c r="H188" s="16">
        <v>32000</v>
      </c>
      <c r="I188" s="16">
        <f>DataClean[Harga_Satuan]*0.6</f>
        <v>19200</v>
      </c>
      <c r="J188" s="16">
        <f>DataClean[Harga_Satuan]-DataClean[Modal]</f>
        <v>12800</v>
      </c>
      <c r="K188" s="16">
        <f>DataClean[[#This Row],[Qty]]*DataClean[[#This Row],[Harga_Satuan]]</f>
        <v>96000</v>
      </c>
      <c r="L188" s="16">
        <f>DataClean[Total_Penjualan]-DataClean[Modal]</f>
        <v>76800</v>
      </c>
      <c r="M188" t="s">
        <v>93</v>
      </c>
      <c r="N188" t="s">
        <v>22</v>
      </c>
      <c r="V188" t="s">
        <v>226</v>
      </c>
      <c r="W188" s="16">
        <f>SUMIF(DataClean[Nama_Toko],V188,DataClean[Total_Penjualan])</f>
        <v>195000</v>
      </c>
    </row>
    <row r="189" spans="1:23" x14ac:dyDescent="0.25">
      <c r="A189" s="2">
        <v>45805</v>
      </c>
      <c r="B189">
        <f>YEAR(DataClean[[#This Row],[Tanggal]])</f>
        <v>2025</v>
      </c>
      <c r="C189" t="s">
        <v>631</v>
      </c>
      <c r="D189" t="s">
        <v>436</v>
      </c>
      <c r="E189" t="s">
        <v>43</v>
      </c>
      <c r="F189" t="s">
        <v>632</v>
      </c>
      <c r="G189" s="11">
        <v>4</v>
      </c>
      <c r="H189" s="16">
        <v>95000</v>
      </c>
      <c r="I189" s="16">
        <f>DataClean[Harga_Satuan]*0.6</f>
        <v>57000</v>
      </c>
      <c r="J189" s="16">
        <f>DataClean[Harga_Satuan]-DataClean[Modal]</f>
        <v>38000</v>
      </c>
      <c r="K189" s="16">
        <f>DataClean[[#This Row],[Qty]]*DataClean[[#This Row],[Harga_Satuan]]</f>
        <v>380000</v>
      </c>
      <c r="L189" s="16">
        <f>DataClean[Total_Penjualan]-DataClean[Modal]</f>
        <v>323000</v>
      </c>
      <c r="M189" t="s">
        <v>45</v>
      </c>
      <c r="N189" t="s">
        <v>15</v>
      </c>
      <c r="V189" t="s">
        <v>525</v>
      </c>
      <c r="W189" s="16">
        <f>SUMIF(DataClean[Nama_Toko],V189,DataClean[Total_Penjualan])</f>
        <v>90000</v>
      </c>
    </row>
    <row r="190" spans="1:23" x14ac:dyDescent="0.25">
      <c r="A190" s="2">
        <v>45203</v>
      </c>
      <c r="B190">
        <f>YEAR(DataClean[[#This Row],[Tanggal]])</f>
        <v>2023</v>
      </c>
      <c r="C190" t="s">
        <v>634</v>
      </c>
      <c r="D190" t="s">
        <v>379</v>
      </c>
      <c r="E190" t="s">
        <v>48</v>
      </c>
      <c r="F190" t="s">
        <v>635</v>
      </c>
      <c r="G190" s="11">
        <v>1</v>
      </c>
      <c r="H190" s="16">
        <v>180000</v>
      </c>
      <c r="I190" s="16">
        <f>DataClean[Harga_Satuan]*0.6</f>
        <v>108000</v>
      </c>
      <c r="J190" s="16">
        <f>DataClean[Harga_Satuan]-DataClean[Modal]</f>
        <v>72000</v>
      </c>
      <c r="K190" s="16">
        <f>DataClean[[#This Row],[Qty]]*DataClean[[#This Row],[Harga_Satuan]]</f>
        <v>180000</v>
      </c>
      <c r="L190" s="16">
        <f>DataClean[Total_Penjualan]-DataClean[Modal]</f>
        <v>72000</v>
      </c>
      <c r="M190" t="s">
        <v>71</v>
      </c>
      <c r="N190" t="s">
        <v>29</v>
      </c>
      <c r="V190" t="s">
        <v>702</v>
      </c>
      <c r="W190" s="16">
        <f>SUMIF(DataClean[Nama_Toko],V190,DataClean[Total_Penjualan])</f>
        <v>120000</v>
      </c>
    </row>
    <row r="191" spans="1:23" x14ac:dyDescent="0.25">
      <c r="A191" s="2">
        <v>44965</v>
      </c>
      <c r="B191">
        <f>YEAR(DataClean[[#This Row],[Tanggal]])</f>
        <v>2023</v>
      </c>
      <c r="C191" t="s">
        <v>636</v>
      </c>
      <c r="D191" t="s">
        <v>637</v>
      </c>
      <c r="E191" t="s">
        <v>12</v>
      </c>
      <c r="F191" t="s">
        <v>638</v>
      </c>
      <c r="G191" s="11">
        <v>8</v>
      </c>
      <c r="H191" s="16">
        <v>12000</v>
      </c>
      <c r="I191" s="16">
        <f>DataClean[Harga_Satuan]*0.6</f>
        <v>7200</v>
      </c>
      <c r="J191" s="16">
        <f>DataClean[Harga_Satuan]-DataClean[Modal]</f>
        <v>4800</v>
      </c>
      <c r="K191" s="16">
        <f>DataClean[[#This Row],[Qty]]*DataClean[[#This Row],[Harga_Satuan]]</f>
        <v>96000</v>
      </c>
      <c r="L191" s="16">
        <f>DataClean[Total_Penjualan]-DataClean[Modal]</f>
        <v>88800</v>
      </c>
      <c r="M191" t="s">
        <v>67</v>
      </c>
      <c r="N191" t="s">
        <v>15</v>
      </c>
      <c r="V191" t="s">
        <v>241</v>
      </c>
      <c r="W191" s="16">
        <f>SUMIF(DataClean[Nama_Toko],V191,DataClean[Total_Penjualan])</f>
        <v>190000</v>
      </c>
    </row>
    <row r="192" spans="1:23" x14ac:dyDescent="0.25">
      <c r="A192" s="2">
        <v>45241</v>
      </c>
      <c r="B192">
        <f>YEAR(DataClean[[#This Row],[Tanggal]])</f>
        <v>2023</v>
      </c>
      <c r="C192" t="s">
        <v>639</v>
      </c>
      <c r="D192" t="s">
        <v>123</v>
      </c>
      <c r="E192" t="s">
        <v>19</v>
      </c>
      <c r="F192" t="s">
        <v>640</v>
      </c>
      <c r="G192" s="11">
        <v>10</v>
      </c>
      <c r="H192" s="16">
        <v>5000</v>
      </c>
      <c r="I192" s="16">
        <f>DataClean[Harga_Satuan]*0.6</f>
        <v>3000</v>
      </c>
      <c r="J192" s="16">
        <f>DataClean[Harga_Satuan]-DataClean[Modal]</f>
        <v>2000</v>
      </c>
      <c r="K192" s="16">
        <f>DataClean[[#This Row],[Qty]]*DataClean[[#This Row],[Harga_Satuan]]</f>
        <v>50000</v>
      </c>
      <c r="L192" s="16">
        <f>DataClean[Total_Penjualan]-DataClean[Modal]</f>
        <v>47000</v>
      </c>
      <c r="M192" t="s">
        <v>21</v>
      </c>
      <c r="N192" t="s">
        <v>22</v>
      </c>
      <c r="V192" t="s">
        <v>57</v>
      </c>
      <c r="W192" s="16">
        <f>SUMIF(DataClean[Nama_Toko],V192,DataClean[Total_Penjualan])</f>
        <v>126000</v>
      </c>
    </row>
    <row r="193" spans="1:23" x14ac:dyDescent="0.25">
      <c r="A193" s="2">
        <v>45196</v>
      </c>
      <c r="B193">
        <f>YEAR(DataClean[[#This Row],[Tanggal]])</f>
        <v>2023</v>
      </c>
      <c r="C193" t="s">
        <v>641</v>
      </c>
      <c r="D193" t="s">
        <v>642</v>
      </c>
      <c r="E193" t="s">
        <v>26</v>
      </c>
      <c r="F193" t="s">
        <v>643</v>
      </c>
      <c r="G193" s="11">
        <v>1</v>
      </c>
      <c r="H193" s="16">
        <v>100000</v>
      </c>
      <c r="I193" s="16">
        <f>DataClean[Harga_Satuan]*0.6</f>
        <v>60000</v>
      </c>
      <c r="J193" s="16">
        <f>DataClean[Harga_Satuan]-DataClean[Modal]</f>
        <v>40000</v>
      </c>
      <c r="K193" s="16">
        <f>DataClean[[#This Row],[Qty]]*DataClean[[#This Row],[Harga_Satuan]]</f>
        <v>100000</v>
      </c>
      <c r="L193" s="16">
        <f>DataClean[Total_Penjualan]-DataClean[Modal]</f>
        <v>40000</v>
      </c>
      <c r="M193" t="s">
        <v>53</v>
      </c>
      <c r="N193" t="s">
        <v>29</v>
      </c>
      <c r="V193" t="s">
        <v>594</v>
      </c>
      <c r="W193" s="16">
        <f>SUMIF(DataClean[Nama_Toko],V193,DataClean[Total_Penjualan])</f>
        <v>105000</v>
      </c>
    </row>
    <row r="194" spans="1:23" x14ac:dyDescent="0.25">
      <c r="A194" s="2">
        <v>44960</v>
      </c>
      <c r="B194">
        <f>YEAR(DataClean[[#This Row],[Tanggal]])</f>
        <v>2023</v>
      </c>
      <c r="C194" t="s">
        <v>644</v>
      </c>
      <c r="D194" t="s">
        <v>310</v>
      </c>
      <c r="E194" t="s">
        <v>33</v>
      </c>
      <c r="F194" t="s">
        <v>645</v>
      </c>
      <c r="G194" s="11">
        <v>3</v>
      </c>
      <c r="H194" s="16">
        <v>50000</v>
      </c>
      <c r="I194" s="16">
        <f>DataClean[Harga_Satuan]*0.6</f>
        <v>30000</v>
      </c>
      <c r="J194" s="16">
        <f>DataClean[Harga_Satuan]-DataClean[Modal]</f>
        <v>20000</v>
      </c>
      <c r="K194" s="16">
        <f>DataClean[[#This Row],[Qty]]*DataClean[[#This Row],[Harga_Satuan]]</f>
        <v>150000</v>
      </c>
      <c r="L194" s="16">
        <f>DataClean[Total_Penjualan]-DataClean[Modal]</f>
        <v>120000</v>
      </c>
      <c r="M194" t="s">
        <v>28</v>
      </c>
      <c r="N194" t="s">
        <v>15</v>
      </c>
      <c r="V194" t="s">
        <v>698</v>
      </c>
      <c r="W194" s="16">
        <f>SUMIF(DataClean[Nama_Toko],V194,DataClean[Total_Penjualan])</f>
        <v>120000</v>
      </c>
    </row>
    <row r="195" spans="1:23" x14ac:dyDescent="0.25">
      <c r="A195" s="2">
        <v>45989</v>
      </c>
      <c r="B195">
        <f>YEAR(DataClean[[#This Row],[Tanggal]])</f>
        <v>2025</v>
      </c>
      <c r="C195" t="s">
        <v>646</v>
      </c>
      <c r="D195" t="s">
        <v>647</v>
      </c>
      <c r="E195" t="s">
        <v>12</v>
      </c>
      <c r="F195" t="s">
        <v>648</v>
      </c>
      <c r="G195" s="11">
        <v>5</v>
      </c>
      <c r="H195" s="16">
        <v>80000</v>
      </c>
      <c r="I195" s="16">
        <f>DataClean[Harga_Satuan]*0.6</f>
        <v>48000</v>
      </c>
      <c r="J195" s="16">
        <f>DataClean[Harga_Satuan]-DataClean[Modal]</f>
        <v>32000</v>
      </c>
      <c r="K195" s="16">
        <f>DataClean[[#This Row],[Qty]]*DataClean[[#This Row],[Harga_Satuan]]</f>
        <v>400000</v>
      </c>
      <c r="L195" s="16">
        <f>DataClean[Total_Penjualan]-DataClean[Modal]</f>
        <v>352000</v>
      </c>
      <c r="M195" t="s">
        <v>59</v>
      </c>
      <c r="N195" t="s">
        <v>22</v>
      </c>
      <c r="V195" t="s">
        <v>163</v>
      </c>
      <c r="W195" s="16">
        <f>SUMIF(DataClean[Nama_Toko],V195,DataClean[Total_Penjualan])</f>
        <v>105000</v>
      </c>
    </row>
    <row r="196" spans="1:23" x14ac:dyDescent="0.25">
      <c r="A196" s="2">
        <v>45977</v>
      </c>
      <c r="B196">
        <f>YEAR(DataClean[[#This Row],[Tanggal]])</f>
        <v>2025</v>
      </c>
      <c r="C196" t="s">
        <v>650</v>
      </c>
      <c r="D196" t="s">
        <v>478</v>
      </c>
      <c r="E196" t="s">
        <v>43</v>
      </c>
      <c r="F196" t="s">
        <v>651</v>
      </c>
      <c r="G196" s="11">
        <v>2</v>
      </c>
      <c r="H196" s="16">
        <v>250000</v>
      </c>
      <c r="I196" s="16">
        <f>DataClean[Harga_Satuan]*0.6</f>
        <v>150000</v>
      </c>
      <c r="J196" s="16">
        <f>DataClean[Harga_Satuan]-DataClean[Modal]</f>
        <v>100000</v>
      </c>
      <c r="K196" s="16">
        <f>DataClean[[#This Row],[Qty]]*DataClean[[#This Row],[Harga_Satuan]]</f>
        <v>500000</v>
      </c>
      <c r="L196" s="16">
        <f>DataClean[Total_Penjualan]-DataClean[Modal]</f>
        <v>350000</v>
      </c>
      <c r="M196" t="s">
        <v>14</v>
      </c>
      <c r="N196" t="s">
        <v>15</v>
      </c>
      <c r="V196" t="s">
        <v>98</v>
      </c>
      <c r="W196" s="16">
        <f>SUMIF(DataClean[Nama_Toko],V196,DataClean[Total_Penjualan])</f>
        <v>375000</v>
      </c>
    </row>
    <row r="197" spans="1:23" x14ac:dyDescent="0.25">
      <c r="A197" s="2">
        <v>45707</v>
      </c>
      <c r="B197">
        <f>YEAR(DataClean[[#This Row],[Tanggal]])</f>
        <v>2025</v>
      </c>
      <c r="C197" t="s">
        <v>652</v>
      </c>
      <c r="D197" t="s">
        <v>356</v>
      </c>
      <c r="E197" t="s">
        <v>48</v>
      </c>
      <c r="F197" t="s">
        <v>653</v>
      </c>
      <c r="G197" s="11">
        <v>3</v>
      </c>
      <c r="H197" s="16">
        <v>70000</v>
      </c>
      <c r="I197" s="16">
        <f>DataClean[Harga_Satuan]*0.6</f>
        <v>42000</v>
      </c>
      <c r="J197" s="16">
        <f>DataClean[Harga_Satuan]-DataClean[Modal]</f>
        <v>28000</v>
      </c>
      <c r="K197" s="16">
        <f>DataClean[[#This Row],[Qty]]*DataClean[[#This Row],[Harga_Satuan]]</f>
        <v>210000</v>
      </c>
      <c r="L197" s="16">
        <f>DataClean[Total_Penjualan]-DataClean[Modal]</f>
        <v>168000</v>
      </c>
      <c r="M197" t="s">
        <v>45</v>
      </c>
      <c r="N197" t="s">
        <v>29</v>
      </c>
      <c r="V197" t="s">
        <v>718</v>
      </c>
      <c r="W197" s="16">
        <f>SUMIF(DataClean[Nama_Toko],V197,DataClean[Total_Penjualan])</f>
        <v>60000</v>
      </c>
    </row>
    <row r="198" spans="1:23" x14ac:dyDescent="0.25">
      <c r="A198" s="2">
        <v>45122</v>
      </c>
      <c r="B198">
        <f>YEAR(DataClean[[#This Row],[Tanggal]])</f>
        <v>2023</v>
      </c>
      <c r="C198" t="s">
        <v>654</v>
      </c>
      <c r="D198" t="s">
        <v>655</v>
      </c>
      <c r="E198" t="s">
        <v>12</v>
      </c>
      <c r="F198" t="s">
        <v>656</v>
      </c>
      <c r="G198" s="11">
        <v>12</v>
      </c>
      <c r="H198" s="16">
        <v>15000</v>
      </c>
      <c r="I198" s="16">
        <f>DataClean[Harga_Satuan]*0.6</f>
        <v>9000</v>
      </c>
      <c r="J198" s="16">
        <f>DataClean[Harga_Satuan]-DataClean[Modal]</f>
        <v>6000</v>
      </c>
      <c r="K198" s="16">
        <f>DataClean[[#This Row],[Qty]]*DataClean[[#This Row],[Harga_Satuan]]</f>
        <v>180000</v>
      </c>
      <c r="L198" s="16">
        <f>DataClean[Total_Penjualan]-DataClean[Modal]</f>
        <v>171000</v>
      </c>
      <c r="M198" t="s">
        <v>71</v>
      </c>
      <c r="N198" t="s">
        <v>15</v>
      </c>
      <c r="V198" t="s">
        <v>442</v>
      </c>
      <c r="W198" s="16">
        <f>SUMIF(DataClean[Nama_Toko],V198,DataClean[Total_Penjualan])</f>
        <v>95000</v>
      </c>
    </row>
    <row r="199" spans="1:23" x14ac:dyDescent="0.25">
      <c r="A199" s="2">
        <v>44942</v>
      </c>
      <c r="B199">
        <f>YEAR(DataClean[[#This Row],[Tanggal]])</f>
        <v>2023</v>
      </c>
      <c r="C199" t="s">
        <v>658</v>
      </c>
      <c r="D199" t="s">
        <v>231</v>
      </c>
      <c r="E199" t="s">
        <v>19</v>
      </c>
      <c r="F199" t="s">
        <v>659</v>
      </c>
      <c r="G199" s="11">
        <v>20</v>
      </c>
      <c r="H199" s="16">
        <v>4000</v>
      </c>
      <c r="I199" s="16">
        <f>DataClean[Harga_Satuan]*0.6</f>
        <v>2400</v>
      </c>
      <c r="J199" s="16">
        <f>DataClean[Harga_Satuan]-DataClean[Modal]</f>
        <v>1600</v>
      </c>
      <c r="K199" s="16">
        <f>DataClean[[#This Row],[Qty]]*DataClean[[#This Row],[Harga_Satuan]]</f>
        <v>80000</v>
      </c>
      <c r="L199" s="16">
        <f>DataClean[Total_Penjualan]-DataClean[Modal]</f>
        <v>77600</v>
      </c>
      <c r="M199" t="s">
        <v>67</v>
      </c>
      <c r="N199" t="s">
        <v>22</v>
      </c>
      <c r="V199" t="s">
        <v>584</v>
      </c>
      <c r="W199" s="16">
        <f>SUMIF(DataClean[Nama_Toko],V199,DataClean[Total_Penjualan])</f>
        <v>72000</v>
      </c>
    </row>
    <row r="200" spans="1:23" x14ac:dyDescent="0.25">
      <c r="A200" s="2">
        <v>45772</v>
      </c>
      <c r="B200">
        <f>YEAR(DataClean[[#This Row],[Tanggal]])</f>
        <v>2025</v>
      </c>
      <c r="C200" t="s">
        <v>660</v>
      </c>
      <c r="D200" t="s">
        <v>182</v>
      </c>
      <c r="E200" t="s">
        <v>26</v>
      </c>
      <c r="F200" t="s">
        <v>661</v>
      </c>
      <c r="G200" s="11">
        <v>1</v>
      </c>
      <c r="H200" s="16">
        <v>90000</v>
      </c>
      <c r="I200" s="16">
        <f>DataClean[Harga_Satuan]*0.6</f>
        <v>54000</v>
      </c>
      <c r="J200" s="16">
        <f>DataClean[Harga_Satuan]-DataClean[Modal]</f>
        <v>36000</v>
      </c>
      <c r="K200" s="16">
        <f>DataClean[[#This Row],[Qty]]*DataClean[[#This Row],[Harga_Satuan]]</f>
        <v>90000</v>
      </c>
      <c r="L200" s="16">
        <f>DataClean[Total_Penjualan]-DataClean[Modal]</f>
        <v>36000</v>
      </c>
      <c r="M200" t="s">
        <v>21</v>
      </c>
      <c r="N200" t="s">
        <v>29</v>
      </c>
      <c r="V200" t="s">
        <v>214</v>
      </c>
      <c r="W200" s="16">
        <f>SUMIF(DataClean[Nama_Toko],V200,DataClean[Total_Penjualan])</f>
        <v>315000</v>
      </c>
    </row>
    <row r="201" spans="1:23" x14ac:dyDescent="0.25">
      <c r="A201" s="2">
        <v>45878</v>
      </c>
      <c r="B201">
        <f>YEAR(DataClean[[#This Row],[Tanggal]])</f>
        <v>2025</v>
      </c>
      <c r="C201" t="s">
        <v>662</v>
      </c>
      <c r="D201" t="s">
        <v>107</v>
      </c>
      <c r="E201" t="s">
        <v>33</v>
      </c>
      <c r="F201" t="s">
        <v>663</v>
      </c>
      <c r="G201" s="11">
        <v>2</v>
      </c>
      <c r="H201" s="16">
        <v>85000</v>
      </c>
      <c r="I201" s="16">
        <f>DataClean[Harga_Satuan]*0.6</f>
        <v>51000</v>
      </c>
      <c r="J201" s="16">
        <f>DataClean[Harga_Satuan]-DataClean[Modal]</f>
        <v>34000</v>
      </c>
      <c r="K201" s="16">
        <f>DataClean[[#This Row],[Qty]]*DataClean[[#This Row],[Harga_Satuan]]</f>
        <v>170000</v>
      </c>
      <c r="L201" s="16">
        <f>DataClean[Total_Penjualan]-DataClean[Modal]</f>
        <v>119000</v>
      </c>
      <c r="M201" t="s">
        <v>53</v>
      </c>
      <c r="N201" t="s">
        <v>15</v>
      </c>
      <c r="V201" t="s">
        <v>728</v>
      </c>
      <c r="W201" s="16">
        <f>SUMIF(DataClean[Nama_Toko],V201,DataClean[Total_Penjualan])</f>
        <v>100000</v>
      </c>
    </row>
    <row r="202" spans="1:23" x14ac:dyDescent="0.25">
      <c r="A202" s="2">
        <v>45776</v>
      </c>
      <c r="B202">
        <f>YEAR(DataClean[[#This Row],[Tanggal]])</f>
        <v>2025</v>
      </c>
      <c r="C202" t="s">
        <v>664</v>
      </c>
      <c r="D202" t="s">
        <v>665</v>
      </c>
      <c r="E202" t="s">
        <v>12</v>
      </c>
      <c r="F202" t="s">
        <v>666</v>
      </c>
      <c r="G202" s="11">
        <v>4</v>
      </c>
      <c r="H202" s="16">
        <v>50000</v>
      </c>
      <c r="I202" s="16">
        <f>DataClean[Harga_Satuan]*0.6</f>
        <v>30000</v>
      </c>
      <c r="J202" s="16">
        <f>DataClean[Harga_Satuan]-DataClean[Modal]</f>
        <v>20000</v>
      </c>
      <c r="K202" s="16">
        <f>DataClean[[#This Row],[Qty]]*DataClean[[#This Row],[Harga_Satuan]]</f>
        <v>200000</v>
      </c>
      <c r="L202" s="16">
        <f>DataClean[Total_Penjualan]-DataClean[Modal]</f>
        <v>170000</v>
      </c>
      <c r="M202" t="s">
        <v>28</v>
      </c>
      <c r="N202" t="s">
        <v>22</v>
      </c>
      <c r="V202" t="s">
        <v>277</v>
      </c>
      <c r="W202" s="16">
        <f>SUMIF(DataClean[Nama_Toko],V202,DataClean[Total_Penjualan])</f>
        <v>132000</v>
      </c>
    </row>
    <row r="203" spans="1:23" x14ac:dyDescent="0.25">
      <c r="A203" s="2">
        <v>45750</v>
      </c>
      <c r="B203">
        <f>YEAR(DataClean[[#This Row],[Tanggal]])</f>
        <v>2025</v>
      </c>
      <c r="C203" t="s">
        <v>667</v>
      </c>
      <c r="D203" t="s">
        <v>113</v>
      </c>
      <c r="E203" t="s">
        <v>43</v>
      </c>
      <c r="F203" t="s">
        <v>668</v>
      </c>
      <c r="G203" s="11">
        <v>1</v>
      </c>
      <c r="H203" s="16">
        <v>75000</v>
      </c>
      <c r="I203" s="16">
        <f>DataClean[Harga_Satuan]*0.6</f>
        <v>45000</v>
      </c>
      <c r="J203" s="16">
        <f>DataClean[Harga_Satuan]-DataClean[Modal]</f>
        <v>30000</v>
      </c>
      <c r="K203" s="16">
        <f>DataClean[[#This Row],[Qty]]*DataClean[[#This Row],[Harga_Satuan]]</f>
        <v>75000</v>
      </c>
      <c r="L203" s="16">
        <f>DataClean[Total_Penjualan]-DataClean[Modal]</f>
        <v>30000</v>
      </c>
      <c r="M203" t="s">
        <v>39</v>
      </c>
      <c r="N203" t="s">
        <v>15</v>
      </c>
      <c r="V203" t="s">
        <v>155</v>
      </c>
      <c r="W203" s="16">
        <f>SUMIF(DataClean[Nama_Toko],V203,DataClean[Total_Penjualan])</f>
        <v>200000</v>
      </c>
    </row>
    <row r="204" spans="1:23" x14ac:dyDescent="0.25">
      <c r="A204" s="2">
        <v>45907</v>
      </c>
      <c r="B204">
        <f>YEAR(DataClean[[#This Row],[Tanggal]])</f>
        <v>2025</v>
      </c>
      <c r="C204" t="s">
        <v>669</v>
      </c>
      <c r="D204" t="s">
        <v>416</v>
      </c>
      <c r="E204" t="s">
        <v>48</v>
      </c>
      <c r="F204" t="s">
        <v>670</v>
      </c>
      <c r="G204" s="11">
        <v>1</v>
      </c>
      <c r="H204" s="16">
        <v>350000</v>
      </c>
      <c r="I204" s="16">
        <f>DataClean[Harga_Satuan]*0.6</f>
        <v>210000</v>
      </c>
      <c r="J204" s="16">
        <f>DataClean[Harga_Satuan]-DataClean[Modal]</f>
        <v>140000</v>
      </c>
      <c r="K204" s="16">
        <f>DataClean[[#This Row],[Qty]]*DataClean[[#This Row],[Harga_Satuan]]</f>
        <v>350000</v>
      </c>
      <c r="L204" s="16">
        <f>DataClean[Total_Penjualan]-DataClean[Modal]</f>
        <v>140000</v>
      </c>
      <c r="M204" t="s">
        <v>93</v>
      </c>
      <c r="N204" t="s">
        <v>29</v>
      </c>
      <c r="V204" t="s">
        <v>283</v>
      </c>
      <c r="W204" s="16">
        <f>SUMIF(DataClean[Nama_Toko],V204,DataClean[Total_Penjualan])</f>
        <v>180000</v>
      </c>
    </row>
    <row r="205" spans="1:23" x14ac:dyDescent="0.25">
      <c r="A205" s="2">
        <v>45343</v>
      </c>
      <c r="B205">
        <f>YEAR(DataClean[[#This Row],[Tanggal]])</f>
        <v>2024</v>
      </c>
      <c r="C205" t="s">
        <v>671</v>
      </c>
      <c r="D205" t="s">
        <v>672</v>
      </c>
      <c r="E205" t="s">
        <v>12</v>
      </c>
      <c r="F205" t="s">
        <v>673</v>
      </c>
      <c r="G205" s="11">
        <v>6</v>
      </c>
      <c r="H205" s="16">
        <v>17000</v>
      </c>
      <c r="I205" s="16">
        <f>DataClean[Harga_Satuan]*0.6</f>
        <v>10200</v>
      </c>
      <c r="J205" s="16">
        <f>DataClean[Harga_Satuan]-DataClean[Modal]</f>
        <v>6800</v>
      </c>
      <c r="K205" s="16">
        <f>DataClean[[#This Row],[Qty]]*DataClean[[#This Row],[Harga_Satuan]]</f>
        <v>102000</v>
      </c>
      <c r="L205" s="16">
        <f>DataClean[Total_Penjualan]-DataClean[Modal]</f>
        <v>91800</v>
      </c>
      <c r="M205" t="s">
        <v>45</v>
      </c>
      <c r="N205" t="s">
        <v>15</v>
      </c>
      <c r="V205" t="s">
        <v>678</v>
      </c>
      <c r="W205" s="16">
        <f>SUMIF(DataClean[Nama_Toko],V205,DataClean[Total_Penjualan])</f>
        <v>250000</v>
      </c>
    </row>
    <row r="206" spans="1:23" x14ac:dyDescent="0.25">
      <c r="A206" s="2">
        <v>45397</v>
      </c>
      <c r="B206">
        <f>YEAR(DataClean[[#This Row],[Tanggal]])</f>
        <v>2024</v>
      </c>
      <c r="C206" t="s">
        <v>674</v>
      </c>
      <c r="D206" t="s">
        <v>243</v>
      </c>
      <c r="E206" t="s">
        <v>19</v>
      </c>
      <c r="F206" t="s">
        <v>675</v>
      </c>
      <c r="G206" s="11">
        <v>5</v>
      </c>
      <c r="H206" s="16">
        <v>13000</v>
      </c>
      <c r="I206" s="16">
        <f>DataClean[Harga_Satuan]*0.6</f>
        <v>7800</v>
      </c>
      <c r="J206" s="16">
        <f>DataClean[Harga_Satuan]-DataClean[Modal]</f>
        <v>5200</v>
      </c>
      <c r="K206" s="16">
        <f>DataClean[[#This Row],[Qty]]*DataClean[[#This Row],[Harga_Satuan]]</f>
        <v>65000</v>
      </c>
      <c r="L206" s="16">
        <f>DataClean[Total_Penjualan]-DataClean[Modal]</f>
        <v>57200</v>
      </c>
      <c r="M206" t="s">
        <v>71</v>
      </c>
      <c r="N206" t="s">
        <v>22</v>
      </c>
      <c r="V206" t="s">
        <v>570</v>
      </c>
      <c r="W206" s="16">
        <f>SUMIF(DataClean[Nama_Toko],V206,DataClean[Total_Penjualan])</f>
        <v>240000</v>
      </c>
    </row>
    <row r="207" spans="1:23" x14ac:dyDescent="0.25">
      <c r="A207" s="2">
        <v>45424</v>
      </c>
      <c r="B207">
        <f>YEAR(DataClean[[#This Row],[Tanggal]])</f>
        <v>2024</v>
      </c>
      <c r="C207" t="s">
        <v>677</v>
      </c>
      <c r="D207" t="s">
        <v>678</v>
      </c>
      <c r="E207" t="s">
        <v>26</v>
      </c>
      <c r="F207" t="s">
        <v>679</v>
      </c>
      <c r="G207" s="11">
        <v>1</v>
      </c>
      <c r="H207" s="16">
        <v>250000</v>
      </c>
      <c r="I207" s="16">
        <f>DataClean[Harga_Satuan]*0.6</f>
        <v>150000</v>
      </c>
      <c r="J207" s="16">
        <f>DataClean[Harga_Satuan]-DataClean[Modal]</f>
        <v>100000</v>
      </c>
      <c r="K207" s="16">
        <f>DataClean[[#This Row],[Qty]]*DataClean[[#This Row],[Harga_Satuan]]</f>
        <v>250000</v>
      </c>
      <c r="L207" s="16">
        <f>DataClean[Total_Penjualan]-DataClean[Modal]</f>
        <v>100000</v>
      </c>
      <c r="M207" t="s">
        <v>67</v>
      </c>
      <c r="N207" t="s">
        <v>29</v>
      </c>
      <c r="V207" t="s">
        <v>259</v>
      </c>
      <c r="W207" s="16">
        <f>SUMIF(DataClean[Nama_Toko],V207,DataClean[Total_Penjualan])</f>
        <v>600000</v>
      </c>
    </row>
    <row r="208" spans="1:23" x14ac:dyDescent="0.25">
      <c r="A208" s="2">
        <v>45884</v>
      </c>
      <c r="B208">
        <f>YEAR(DataClean[[#This Row],[Tanggal]])</f>
        <v>2025</v>
      </c>
      <c r="C208" t="s">
        <v>680</v>
      </c>
      <c r="D208" t="s">
        <v>261</v>
      </c>
      <c r="E208" t="s">
        <v>33</v>
      </c>
      <c r="F208" t="s">
        <v>681</v>
      </c>
      <c r="G208" s="11">
        <v>8</v>
      </c>
      <c r="H208" s="16">
        <v>30000</v>
      </c>
      <c r="I208" s="16">
        <f>DataClean[Harga_Satuan]*0.6</f>
        <v>18000</v>
      </c>
      <c r="J208" s="16">
        <f>DataClean[Harga_Satuan]-DataClean[Modal]</f>
        <v>12000</v>
      </c>
      <c r="K208" s="16">
        <f>DataClean[[#This Row],[Qty]]*DataClean[[#This Row],[Harga_Satuan]]</f>
        <v>240000</v>
      </c>
      <c r="L208" s="16">
        <f>DataClean[Total_Penjualan]-DataClean[Modal]</f>
        <v>222000</v>
      </c>
      <c r="M208" t="s">
        <v>21</v>
      </c>
      <c r="N208" t="s">
        <v>15</v>
      </c>
      <c r="V208" t="s">
        <v>549</v>
      </c>
      <c r="W208" s="16">
        <f>SUMIF(DataClean[Nama_Toko],V208,DataClean[Total_Penjualan])</f>
        <v>550000</v>
      </c>
    </row>
    <row r="209" spans="1:23" x14ac:dyDescent="0.25">
      <c r="A209" s="2">
        <v>45628</v>
      </c>
      <c r="B209">
        <f>YEAR(DataClean[[#This Row],[Tanggal]])</f>
        <v>2024</v>
      </c>
      <c r="C209" t="s">
        <v>682</v>
      </c>
      <c r="D209" t="s">
        <v>633</v>
      </c>
      <c r="E209" t="s">
        <v>12</v>
      </c>
      <c r="F209" t="s">
        <v>683</v>
      </c>
      <c r="G209" s="11">
        <v>2</v>
      </c>
      <c r="H209" s="16">
        <v>45000</v>
      </c>
      <c r="I209" s="16">
        <f>DataClean[Harga_Satuan]*0.6</f>
        <v>27000</v>
      </c>
      <c r="J209" s="16">
        <f>DataClean[Harga_Satuan]-DataClean[Modal]</f>
        <v>18000</v>
      </c>
      <c r="K209" s="16">
        <f>DataClean[[#This Row],[Qty]]*DataClean[[#This Row],[Harga_Satuan]]</f>
        <v>90000</v>
      </c>
      <c r="L209" s="16">
        <f>DataClean[Total_Penjualan]-DataClean[Modal]</f>
        <v>63000</v>
      </c>
      <c r="M209" t="s">
        <v>53</v>
      </c>
      <c r="N209" t="s">
        <v>22</v>
      </c>
      <c r="V209" t="s">
        <v>710</v>
      </c>
      <c r="W209" s="16">
        <f>SUMIF(DataClean[Nama_Toko],V209,DataClean[Total_Penjualan])</f>
        <v>800000</v>
      </c>
    </row>
    <row r="210" spans="1:23" x14ac:dyDescent="0.25">
      <c r="A210" s="2">
        <v>44927</v>
      </c>
      <c r="B210">
        <f>YEAR(DataClean[[#This Row],[Tanggal]])</f>
        <v>2023</v>
      </c>
      <c r="C210" t="s">
        <v>684</v>
      </c>
      <c r="D210" t="s">
        <v>496</v>
      </c>
      <c r="E210" t="s">
        <v>43</v>
      </c>
      <c r="F210" t="s">
        <v>685</v>
      </c>
      <c r="G210" s="11">
        <v>4</v>
      </c>
      <c r="H210" s="16">
        <v>150000</v>
      </c>
      <c r="I210" s="16">
        <f>DataClean[Harga_Satuan]*0.6</f>
        <v>90000</v>
      </c>
      <c r="J210" s="16">
        <f>DataClean[Harga_Satuan]-DataClean[Modal]</f>
        <v>60000</v>
      </c>
      <c r="K210" s="16">
        <f>DataClean[[#This Row],[Qty]]*DataClean[[#This Row],[Harga_Satuan]]</f>
        <v>600000</v>
      </c>
      <c r="L210" s="16">
        <f>DataClean[Total_Penjualan]-DataClean[Modal]</f>
        <v>510000</v>
      </c>
      <c r="M210" t="s">
        <v>28</v>
      </c>
      <c r="N210" t="s">
        <v>15</v>
      </c>
      <c r="V210" t="s">
        <v>427</v>
      </c>
      <c r="W210" s="16">
        <f>SUMIF(DataClean[Nama_Toko],V210,DataClean[Total_Penjualan])</f>
        <v>50000</v>
      </c>
    </row>
    <row r="211" spans="1:23" x14ac:dyDescent="0.25">
      <c r="A211" s="2">
        <v>45274</v>
      </c>
      <c r="B211">
        <f>YEAR(DataClean[[#This Row],[Tanggal]])</f>
        <v>2023</v>
      </c>
      <c r="C211" t="s">
        <v>686</v>
      </c>
      <c r="D211" t="s">
        <v>446</v>
      </c>
      <c r="E211" t="s">
        <v>48</v>
      </c>
      <c r="F211" t="s">
        <v>687</v>
      </c>
      <c r="G211" s="11">
        <v>10</v>
      </c>
      <c r="H211" s="16">
        <v>20000</v>
      </c>
      <c r="I211" s="16">
        <f>DataClean[Harga_Satuan]*0.6</f>
        <v>12000</v>
      </c>
      <c r="J211" s="16">
        <f>DataClean[Harga_Satuan]-DataClean[Modal]</f>
        <v>8000</v>
      </c>
      <c r="K211" s="16">
        <f>DataClean[[#This Row],[Qty]]*DataClean[[#This Row],[Harga_Satuan]]</f>
        <v>200000</v>
      </c>
      <c r="L211" s="16">
        <f>DataClean[Total_Penjualan]-DataClean[Modal]</f>
        <v>188000</v>
      </c>
      <c r="M211" t="s">
        <v>59</v>
      </c>
      <c r="N211" t="s">
        <v>29</v>
      </c>
      <c r="V211" t="s">
        <v>448</v>
      </c>
      <c r="W211" s="16">
        <f>SUMIF(DataClean[Nama_Toko],V211,DataClean[Total_Penjualan])</f>
        <v>100000</v>
      </c>
    </row>
    <row r="212" spans="1:23" x14ac:dyDescent="0.25">
      <c r="A212" s="2">
        <v>45699</v>
      </c>
      <c r="B212">
        <f>YEAR(DataClean[[#This Row],[Tanggal]])</f>
        <v>2025</v>
      </c>
      <c r="C212" t="s">
        <v>688</v>
      </c>
      <c r="D212" t="s">
        <v>566</v>
      </c>
      <c r="E212" t="s">
        <v>12</v>
      </c>
      <c r="F212" t="s">
        <v>689</v>
      </c>
      <c r="G212" s="11">
        <v>15</v>
      </c>
      <c r="H212" s="16">
        <v>10000</v>
      </c>
      <c r="I212" s="16">
        <f>DataClean[Harga_Satuan]*0.6</f>
        <v>6000</v>
      </c>
      <c r="J212" s="16">
        <f>DataClean[Harga_Satuan]-DataClean[Modal]</f>
        <v>4000</v>
      </c>
      <c r="K212" s="16">
        <f>DataClean[[#This Row],[Qty]]*DataClean[[#This Row],[Harga_Satuan]]</f>
        <v>150000</v>
      </c>
      <c r="L212" s="16">
        <f>DataClean[Total_Penjualan]-DataClean[Modal]</f>
        <v>144000</v>
      </c>
      <c r="M212" t="s">
        <v>14</v>
      </c>
      <c r="N212" t="s">
        <v>15</v>
      </c>
      <c r="V212" t="s">
        <v>206</v>
      </c>
      <c r="W212" s="16">
        <f>SUMIF(DataClean[Nama_Toko],V212,DataClean[Total_Penjualan])</f>
        <v>1035000</v>
      </c>
    </row>
    <row r="213" spans="1:23" x14ac:dyDescent="0.25">
      <c r="A213" s="2">
        <v>45378</v>
      </c>
      <c r="B213">
        <f>YEAR(DataClean[[#This Row],[Tanggal]])</f>
        <v>2024</v>
      </c>
      <c r="C213" t="s">
        <v>690</v>
      </c>
      <c r="D213" t="s">
        <v>212</v>
      </c>
      <c r="E213" t="s">
        <v>19</v>
      </c>
      <c r="F213" t="s">
        <v>691</v>
      </c>
      <c r="G213" s="11">
        <v>7</v>
      </c>
      <c r="H213" s="16">
        <v>14000</v>
      </c>
      <c r="I213" s="16">
        <f>DataClean[Harga_Satuan]*0.6</f>
        <v>8400</v>
      </c>
      <c r="J213" s="16">
        <f>DataClean[Harga_Satuan]-DataClean[Modal]</f>
        <v>5600</v>
      </c>
      <c r="K213" s="16">
        <f>DataClean[[#This Row],[Qty]]*DataClean[[#This Row],[Harga_Satuan]]</f>
        <v>98000</v>
      </c>
      <c r="L213" s="16">
        <f>DataClean[Total_Penjualan]-DataClean[Modal]</f>
        <v>89600</v>
      </c>
      <c r="M213" t="s">
        <v>45</v>
      </c>
      <c r="N213" t="s">
        <v>22</v>
      </c>
      <c r="V213" t="s">
        <v>61</v>
      </c>
      <c r="W213" s="16">
        <f>SUMIF(DataClean[Nama_Toko],V213,DataClean[Total_Penjualan])</f>
        <v>22000</v>
      </c>
    </row>
    <row r="214" spans="1:23" x14ac:dyDescent="0.25">
      <c r="A214" s="2">
        <v>45246</v>
      </c>
      <c r="B214">
        <f>YEAR(DataClean[[#This Row],[Tanggal]])</f>
        <v>2023</v>
      </c>
      <c r="C214" t="s">
        <v>692</v>
      </c>
      <c r="D214" t="s">
        <v>693</v>
      </c>
      <c r="E214" t="s">
        <v>26</v>
      </c>
      <c r="F214" t="s">
        <v>694</v>
      </c>
      <c r="G214" s="11">
        <v>1</v>
      </c>
      <c r="H214" s="16">
        <v>300000</v>
      </c>
      <c r="I214" s="16">
        <f>DataClean[Harga_Satuan]*0.6</f>
        <v>180000</v>
      </c>
      <c r="J214" s="16">
        <f>DataClean[Harga_Satuan]-DataClean[Modal]</f>
        <v>120000</v>
      </c>
      <c r="K214" s="16">
        <f>DataClean[[#This Row],[Qty]]*DataClean[[#This Row],[Harga_Satuan]]</f>
        <v>300000</v>
      </c>
      <c r="L214" s="16">
        <f>DataClean[Total_Penjualan]-DataClean[Modal]</f>
        <v>120000</v>
      </c>
      <c r="M214" t="s">
        <v>71</v>
      </c>
      <c r="N214" t="s">
        <v>29</v>
      </c>
      <c r="V214" t="s">
        <v>642</v>
      </c>
      <c r="W214" s="16">
        <f>SUMIF(DataClean[Nama_Toko],V214,DataClean[Total_Penjualan])</f>
        <v>100000</v>
      </c>
    </row>
    <row r="215" spans="1:23" x14ac:dyDescent="0.25">
      <c r="A215" s="2">
        <v>45592</v>
      </c>
      <c r="B215">
        <f>YEAR(DataClean[[#This Row],[Tanggal]])</f>
        <v>2024</v>
      </c>
      <c r="C215" t="s">
        <v>695</v>
      </c>
      <c r="D215" t="s">
        <v>306</v>
      </c>
      <c r="E215" t="s">
        <v>33</v>
      </c>
      <c r="F215" t="s">
        <v>696</v>
      </c>
      <c r="G215" s="11">
        <v>1</v>
      </c>
      <c r="H215" s="16">
        <v>180000</v>
      </c>
      <c r="I215" s="16">
        <f>DataClean[Harga_Satuan]*0.6</f>
        <v>108000</v>
      </c>
      <c r="J215" s="16">
        <f>DataClean[Harga_Satuan]-DataClean[Modal]</f>
        <v>72000</v>
      </c>
      <c r="K215" s="16">
        <f>DataClean[[#This Row],[Qty]]*DataClean[[#This Row],[Harga_Satuan]]</f>
        <v>180000</v>
      </c>
      <c r="L215" s="16">
        <f>DataClean[Total_Penjualan]-DataClean[Modal]</f>
        <v>72000</v>
      </c>
      <c r="M215" t="s">
        <v>67</v>
      </c>
      <c r="N215" t="s">
        <v>15</v>
      </c>
      <c r="V215" t="s">
        <v>489</v>
      </c>
      <c r="W215" s="16">
        <f>SUMIF(DataClean[Nama_Toko],V215,DataClean[Total_Penjualan])</f>
        <v>110000</v>
      </c>
    </row>
    <row r="216" spans="1:23" x14ac:dyDescent="0.25">
      <c r="A216" s="2">
        <v>45289</v>
      </c>
      <c r="B216">
        <f>YEAR(DataClean[[#This Row],[Tanggal]])</f>
        <v>2023</v>
      </c>
      <c r="C216" t="s">
        <v>697</v>
      </c>
      <c r="D216" t="s">
        <v>698</v>
      </c>
      <c r="E216" t="s">
        <v>12</v>
      </c>
      <c r="F216" t="s">
        <v>699</v>
      </c>
      <c r="G216" s="11">
        <v>3</v>
      </c>
      <c r="H216" s="16">
        <v>40000</v>
      </c>
      <c r="I216" s="16">
        <f>DataClean[Harga_Satuan]*0.6</f>
        <v>24000</v>
      </c>
      <c r="J216" s="16">
        <f>DataClean[Harga_Satuan]-DataClean[Modal]</f>
        <v>16000</v>
      </c>
      <c r="K216" s="16">
        <f>DataClean[[#This Row],[Qty]]*DataClean[[#This Row],[Harga_Satuan]]</f>
        <v>120000</v>
      </c>
      <c r="L216" s="16">
        <f>DataClean[Total_Penjualan]-DataClean[Modal]</f>
        <v>96000</v>
      </c>
      <c r="M216" t="s">
        <v>21</v>
      </c>
      <c r="N216" t="s">
        <v>22</v>
      </c>
      <c r="V216" t="s">
        <v>468</v>
      </c>
      <c r="W216" s="16">
        <f>SUMIF(DataClean[Nama_Toko],V216,DataClean[Total_Penjualan])</f>
        <v>250000</v>
      </c>
    </row>
    <row r="217" spans="1:23" x14ac:dyDescent="0.25">
      <c r="A217" s="2">
        <v>45864</v>
      </c>
      <c r="B217">
        <f>YEAR(DataClean[[#This Row],[Tanggal]])</f>
        <v>2025</v>
      </c>
      <c r="C217" t="s">
        <v>700</v>
      </c>
      <c r="D217" t="s">
        <v>506</v>
      </c>
      <c r="E217" t="s">
        <v>43</v>
      </c>
      <c r="F217" t="s">
        <v>701</v>
      </c>
      <c r="G217" s="11">
        <v>2</v>
      </c>
      <c r="H217" s="16">
        <v>160000</v>
      </c>
      <c r="I217" s="16">
        <f>DataClean[Harga_Satuan]*0.6</f>
        <v>96000</v>
      </c>
      <c r="J217" s="16">
        <f>DataClean[Harga_Satuan]-DataClean[Modal]</f>
        <v>64000</v>
      </c>
      <c r="K217" s="16">
        <f>DataClean[[#This Row],[Qty]]*DataClean[[#This Row],[Harga_Satuan]]</f>
        <v>320000</v>
      </c>
      <c r="L217" s="16">
        <f>DataClean[Total_Penjualan]-DataClean[Modal]</f>
        <v>224000</v>
      </c>
      <c r="M217" t="s">
        <v>53</v>
      </c>
      <c r="N217" t="s">
        <v>15</v>
      </c>
      <c r="V217" t="s">
        <v>530</v>
      </c>
      <c r="W217" s="16">
        <f>SUMIF(DataClean[Nama_Toko],V217,DataClean[Total_Penjualan])</f>
        <v>250000</v>
      </c>
    </row>
    <row r="218" spans="1:23" x14ac:dyDescent="0.25">
      <c r="A218" s="2">
        <v>45315</v>
      </c>
      <c r="B218">
        <f>YEAR(DataClean[[#This Row],[Tanggal]])</f>
        <v>2024</v>
      </c>
      <c r="C218" t="s">
        <v>703</v>
      </c>
      <c r="D218" t="s">
        <v>440</v>
      </c>
      <c r="E218" t="s">
        <v>48</v>
      </c>
      <c r="F218" t="s">
        <v>704</v>
      </c>
      <c r="G218" s="11">
        <v>1</v>
      </c>
      <c r="H218" s="16">
        <v>280000</v>
      </c>
      <c r="I218" s="16">
        <f>DataClean[Harga_Satuan]*0.6</f>
        <v>168000</v>
      </c>
      <c r="J218" s="16">
        <f>DataClean[Harga_Satuan]-DataClean[Modal]</f>
        <v>112000</v>
      </c>
      <c r="K218" s="16">
        <f>DataClean[[#This Row],[Qty]]*DataClean[[#This Row],[Harga_Satuan]]</f>
        <v>280000</v>
      </c>
      <c r="L218" s="16">
        <f>DataClean[Total_Penjualan]-DataClean[Modal]</f>
        <v>112000</v>
      </c>
      <c r="M218" t="s">
        <v>28</v>
      </c>
      <c r="N218" t="s">
        <v>29</v>
      </c>
      <c r="V218" t="s">
        <v>233</v>
      </c>
      <c r="W218" s="16">
        <f>SUMIF(DataClean[Nama_Toko],V218,DataClean[Total_Penjualan])</f>
        <v>240000</v>
      </c>
    </row>
    <row r="219" spans="1:23" x14ac:dyDescent="0.25">
      <c r="A219" s="2">
        <v>45800</v>
      </c>
      <c r="B219">
        <f>YEAR(DataClean[[#This Row],[Tanggal]])</f>
        <v>2025</v>
      </c>
      <c r="C219" t="s">
        <v>705</v>
      </c>
      <c r="D219" t="s">
        <v>657</v>
      </c>
      <c r="E219" t="s">
        <v>12</v>
      </c>
      <c r="F219" t="s">
        <v>706</v>
      </c>
      <c r="G219" s="11">
        <v>5</v>
      </c>
      <c r="H219" s="16">
        <v>15000</v>
      </c>
      <c r="I219" s="16">
        <f>DataClean[Harga_Satuan]*0.6</f>
        <v>9000</v>
      </c>
      <c r="J219" s="16">
        <f>DataClean[Harga_Satuan]-DataClean[Modal]</f>
        <v>6000</v>
      </c>
      <c r="K219" s="16">
        <f>DataClean[[#This Row],[Qty]]*DataClean[[#This Row],[Harga_Satuan]]</f>
        <v>75000</v>
      </c>
      <c r="L219" s="16">
        <f>DataClean[Total_Penjualan]-DataClean[Modal]</f>
        <v>66000</v>
      </c>
      <c r="M219" t="s">
        <v>39</v>
      </c>
      <c r="N219" t="s">
        <v>15</v>
      </c>
      <c r="V219" t="s">
        <v>742</v>
      </c>
      <c r="W219" s="16">
        <f>SUMIF(DataClean[Nama_Toko],V219,DataClean[Total_Penjualan])</f>
        <v>180000</v>
      </c>
    </row>
    <row r="220" spans="1:23" x14ac:dyDescent="0.25">
      <c r="A220" s="2">
        <v>46016</v>
      </c>
      <c r="B220">
        <f>YEAR(DataClean[[#This Row],[Tanggal]])</f>
        <v>2025</v>
      </c>
      <c r="C220" t="s">
        <v>707</v>
      </c>
      <c r="D220" t="s">
        <v>127</v>
      </c>
      <c r="E220" t="s">
        <v>19</v>
      </c>
      <c r="F220" t="s">
        <v>708</v>
      </c>
      <c r="G220" s="11">
        <v>12</v>
      </c>
      <c r="H220" s="16">
        <v>6000</v>
      </c>
      <c r="I220" s="16">
        <f>DataClean[Harga_Satuan]*0.6</f>
        <v>3600</v>
      </c>
      <c r="J220" s="16">
        <f>DataClean[Harga_Satuan]-DataClean[Modal]</f>
        <v>2400</v>
      </c>
      <c r="K220" s="16">
        <f>DataClean[[#This Row],[Qty]]*DataClean[[#This Row],[Harga_Satuan]]</f>
        <v>72000</v>
      </c>
      <c r="L220" s="16">
        <f>DataClean[Total_Penjualan]-DataClean[Modal]</f>
        <v>68400</v>
      </c>
      <c r="M220" t="s">
        <v>93</v>
      </c>
      <c r="N220" t="s">
        <v>22</v>
      </c>
      <c r="V220" t="s">
        <v>589</v>
      </c>
      <c r="W220" s="16">
        <f>SUMIF(DataClean[Nama_Toko],V220,DataClean[Total_Penjualan])</f>
        <v>120000</v>
      </c>
    </row>
    <row r="221" spans="1:23" x14ac:dyDescent="0.25">
      <c r="A221" s="2">
        <v>45127</v>
      </c>
      <c r="B221">
        <f>YEAR(DataClean[[#This Row],[Tanggal]])</f>
        <v>2023</v>
      </c>
      <c r="C221" t="s">
        <v>709</v>
      </c>
      <c r="D221" t="s">
        <v>710</v>
      </c>
      <c r="E221" t="s">
        <v>26</v>
      </c>
      <c r="F221" t="s">
        <v>711</v>
      </c>
      <c r="G221" s="11">
        <v>1</v>
      </c>
      <c r="H221" s="16">
        <v>800000</v>
      </c>
      <c r="I221" s="16">
        <f>DataClean[Harga_Satuan]*0.6</f>
        <v>480000</v>
      </c>
      <c r="J221" s="16">
        <f>DataClean[Harga_Satuan]-DataClean[Modal]</f>
        <v>320000</v>
      </c>
      <c r="K221" s="16">
        <f>DataClean[[#This Row],[Qty]]*DataClean[[#This Row],[Harga_Satuan]]</f>
        <v>800000</v>
      </c>
      <c r="L221" s="16">
        <f>DataClean[Total_Penjualan]-DataClean[Modal]</f>
        <v>320000</v>
      </c>
      <c r="M221" t="s">
        <v>45</v>
      </c>
      <c r="N221" t="s">
        <v>29</v>
      </c>
      <c r="V221" t="s">
        <v>770</v>
      </c>
      <c r="W221" s="16">
        <f>SUMIF(DataClean[Nama_Toko],V221,DataClean[Total_Penjualan])</f>
        <v>60000</v>
      </c>
    </row>
    <row r="222" spans="1:23" x14ac:dyDescent="0.25">
      <c r="A222" s="2">
        <v>45580</v>
      </c>
      <c r="B222">
        <f>YEAR(DataClean[[#This Row],[Tanggal]])</f>
        <v>2024</v>
      </c>
      <c r="C222" t="s">
        <v>712</v>
      </c>
      <c r="D222" t="s">
        <v>314</v>
      </c>
      <c r="E222" t="s">
        <v>33</v>
      </c>
      <c r="F222" t="s">
        <v>713</v>
      </c>
      <c r="G222" s="11">
        <v>4</v>
      </c>
      <c r="H222" s="16">
        <v>45000</v>
      </c>
      <c r="I222" s="16">
        <f>DataClean[Harga_Satuan]*0.6</f>
        <v>27000</v>
      </c>
      <c r="J222" s="16">
        <f>DataClean[Harga_Satuan]-DataClean[Modal]</f>
        <v>18000</v>
      </c>
      <c r="K222" s="16">
        <f>DataClean[[#This Row],[Qty]]*DataClean[[#This Row],[Harga_Satuan]]</f>
        <v>180000</v>
      </c>
      <c r="L222" s="16">
        <f>DataClean[Total_Penjualan]-DataClean[Modal]</f>
        <v>153000</v>
      </c>
      <c r="M222" t="s">
        <v>71</v>
      </c>
      <c r="N222" t="s">
        <v>15</v>
      </c>
      <c r="V222" t="s">
        <v>129</v>
      </c>
      <c r="W222" s="16">
        <f>SUMIF(DataClean[Nama_Toko],V222,DataClean[Total_Penjualan])</f>
        <v>170000</v>
      </c>
    </row>
    <row r="223" spans="1:23" x14ac:dyDescent="0.25">
      <c r="A223" s="2">
        <v>45384</v>
      </c>
      <c r="B223">
        <f>YEAR(DataClean[[#This Row],[Tanggal]])</f>
        <v>2024</v>
      </c>
      <c r="C223" t="s">
        <v>714</v>
      </c>
      <c r="D223" t="s">
        <v>611</v>
      </c>
      <c r="E223" t="s">
        <v>12</v>
      </c>
      <c r="F223" t="s">
        <v>715</v>
      </c>
      <c r="G223" s="11">
        <v>10</v>
      </c>
      <c r="H223" s="16">
        <v>9000</v>
      </c>
      <c r="I223" s="16">
        <f>DataClean[Harga_Satuan]*0.6</f>
        <v>5400</v>
      </c>
      <c r="J223" s="16">
        <f>DataClean[Harga_Satuan]-DataClean[Modal]</f>
        <v>3600</v>
      </c>
      <c r="K223" s="16">
        <f>DataClean[[#This Row],[Qty]]*DataClean[[#This Row],[Harga_Satuan]]</f>
        <v>90000</v>
      </c>
      <c r="L223" s="16">
        <f>DataClean[Total_Penjualan]-DataClean[Modal]</f>
        <v>84600</v>
      </c>
      <c r="M223" t="s">
        <v>67</v>
      </c>
      <c r="N223" t="s">
        <v>22</v>
      </c>
      <c r="V223" t="s">
        <v>623</v>
      </c>
      <c r="W223" s="16">
        <f>SUMIF(DataClean[Nama_Toko],V223,DataClean[Total_Penjualan])</f>
        <v>60000</v>
      </c>
    </row>
    <row r="224" spans="1:23" x14ac:dyDescent="0.25">
      <c r="A224" s="2">
        <v>45385</v>
      </c>
      <c r="B224">
        <f>YEAR(DataClean[[#This Row],[Tanggal]])</f>
        <v>2024</v>
      </c>
      <c r="C224" t="s">
        <v>716</v>
      </c>
      <c r="D224" t="s">
        <v>557</v>
      </c>
      <c r="E224" t="s">
        <v>43</v>
      </c>
      <c r="F224" t="s">
        <v>717</v>
      </c>
      <c r="G224" s="11">
        <v>3</v>
      </c>
      <c r="H224" s="16">
        <v>110000</v>
      </c>
      <c r="I224" s="16">
        <f>DataClean[Harga_Satuan]*0.6</f>
        <v>66000</v>
      </c>
      <c r="J224" s="16">
        <f>DataClean[Harga_Satuan]-DataClean[Modal]</f>
        <v>44000</v>
      </c>
      <c r="K224" s="16">
        <f>DataClean[[#This Row],[Qty]]*DataClean[[#This Row],[Harga_Satuan]]</f>
        <v>330000</v>
      </c>
      <c r="L224" s="16">
        <f>DataClean[Total_Penjualan]-DataClean[Modal]</f>
        <v>264000</v>
      </c>
      <c r="M224" t="s">
        <v>21</v>
      </c>
      <c r="N224" t="s">
        <v>15</v>
      </c>
      <c r="V224" t="s">
        <v>308</v>
      </c>
      <c r="W224" s="16">
        <f>SUMIF(DataClean[Nama_Toko],V224,DataClean[Total_Penjualan])</f>
        <v>300000</v>
      </c>
    </row>
    <row r="225" spans="1:23" x14ac:dyDescent="0.25">
      <c r="A225" s="2">
        <v>45277</v>
      </c>
      <c r="B225">
        <f>YEAR(DataClean[[#This Row],[Tanggal]])</f>
        <v>2023</v>
      </c>
      <c r="C225" t="s">
        <v>719</v>
      </c>
      <c r="D225" t="s">
        <v>372</v>
      </c>
      <c r="E225" t="s">
        <v>48</v>
      </c>
      <c r="F225" t="s">
        <v>720</v>
      </c>
      <c r="G225" s="11">
        <v>6</v>
      </c>
      <c r="H225" s="16">
        <v>90000</v>
      </c>
      <c r="I225" s="16">
        <f>DataClean[Harga_Satuan]*0.6</f>
        <v>54000</v>
      </c>
      <c r="J225" s="16">
        <f>DataClean[Harga_Satuan]-DataClean[Modal]</f>
        <v>36000</v>
      </c>
      <c r="K225" s="16">
        <f>DataClean[[#This Row],[Qty]]*DataClean[[#This Row],[Harga_Satuan]]</f>
        <v>540000</v>
      </c>
      <c r="L225" s="16">
        <f>DataClean[Total_Penjualan]-DataClean[Modal]</f>
        <v>486000</v>
      </c>
      <c r="M225" t="s">
        <v>53</v>
      </c>
      <c r="N225" t="s">
        <v>29</v>
      </c>
      <c r="V225" t="s">
        <v>333</v>
      </c>
      <c r="W225" s="16">
        <f>SUMIF(DataClean[Nama_Toko],V225,DataClean[Total_Penjualan])</f>
        <v>800000</v>
      </c>
    </row>
    <row r="226" spans="1:23" x14ac:dyDescent="0.25">
      <c r="A226" s="2">
        <v>45295</v>
      </c>
      <c r="B226">
        <f>YEAR(DataClean[[#This Row],[Tanggal]])</f>
        <v>2024</v>
      </c>
      <c r="C226" t="s">
        <v>721</v>
      </c>
      <c r="D226" t="s">
        <v>702</v>
      </c>
      <c r="E226" t="s">
        <v>12</v>
      </c>
      <c r="F226" t="s">
        <v>722</v>
      </c>
      <c r="G226" s="11">
        <v>2</v>
      </c>
      <c r="H226" s="16">
        <v>60000</v>
      </c>
      <c r="I226" s="16">
        <f>DataClean[Harga_Satuan]*0.6</f>
        <v>36000</v>
      </c>
      <c r="J226" s="16">
        <f>DataClean[Harga_Satuan]-DataClean[Modal]</f>
        <v>24000</v>
      </c>
      <c r="K226" s="16">
        <f>DataClean[[#This Row],[Qty]]*DataClean[[#This Row],[Harga_Satuan]]</f>
        <v>120000</v>
      </c>
      <c r="L226" s="16">
        <f>DataClean[Total_Penjualan]-DataClean[Modal]</f>
        <v>84000</v>
      </c>
      <c r="M226" t="s">
        <v>28</v>
      </c>
      <c r="N226" t="s">
        <v>15</v>
      </c>
      <c r="V226" t="s">
        <v>104</v>
      </c>
      <c r="W226" s="16">
        <f>SUMIF(DataClean[Nama_Toko],V226,DataClean[Total_Penjualan])</f>
        <v>150000</v>
      </c>
    </row>
    <row r="227" spans="1:23" x14ac:dyDescent="0.25">
      <c r="A227" s="2">
        <v>45681</v>
      </c>
      <c r="B227">
        <f>YEAR(DataClean[[#This Row],[Tanggal]])</f>
        <v>2025</v>
      </c>
      <c r="C227" t="s">
        <v>723</v>
      </c>
      <c r="D227" t="s">
        <v>135</v>
      </c>
      <c r="E227" t="s">
        <v>19</v>
      </c>
      <c r="F227" t="s">
        <v>724</v>
      </c>
      <c r="G227" s="11">
        <v>1</v>
      </c>
      <c r="H227" s="16">
        <v>25000</v>
      </c>
      <c r="I227" s="16">
        <f>DataClean[Harga_Satuan]*0.6</f>
        <v>15000</v>
      </c>
      <c r="J227" s="16">
        <f>DataClean[Harga_Satuan]-DataClean[Modal]</f>
        <v>10000</v>
      </c>
      <c r="K227" s="16">
        <f>DataClean[[#This Row],[Qty]]*DataClean[[#This Row],[Harga_Satuan]]</f>
        <v>25000</v>
      </c>
      <c r="L227" s="16">
        <f>DataClean[Total_Penjualan]-DataClean[Modal]</f>
        <v>10000</v>
      </c>
      <c r="M227" t="s">
        <v>59</v>
      </c>
      <c r="N227" t="s">
        <v>22</v>
      </c>
      <c r="V227" t="s">
        <v>381</v>
      </c>
      <c r="W227" s="16">
        <f>SUMIF(DataClean[Nama_Toko],V227,DataClean[Total_Penjualan])</f>
        <v>360000</v>
      </c>
    </row>
    <row r="228" spans="1:23" x14ac:dyDescent="0.25">
      <c r="A228" s="2">
        <v>44952</v>
      </c>
      <c r="B228">
        <f>YEAR(DataClean[[#This Row],[Tanggal]])</f>
        <v>2023</v>
      </c>
      <c r="C228" t="s">
        <v>725</v>
      </c>
      <c r="D228" t="s">
        <v>726</v>
      </c>
      <c r="E228" t="s">
        <v>26</v>
      </c>
      <c r="F228" t="s">
        <v>727</v>
      </c>
      <c r="G228" s="11">
        <v>3</v>
      </c>
      <c r="H228" s="16">
        <v>40000</v>
      </c>
      <c r="I228" s="16">
        <f>DataClean[Harga_Satuan]*0.6</f>
        <v>24000</v>
      </c>
      <c r="J228" s="16">
        <f>DataClean[Harga_Satuan]-DataClean[Modal]</f>
        <v>16000</v>
      </c>
      <c r="K228" s="16">
        <f>DataClean[[#This Row],[Qty]]*DataClean[[#This Row],[Harga_Satuan]]</f>
        <v>120000</v>
      </c>
      <c r="L228" s="16">
        <f>DataClean[Total_Penjualan]-DataClean[Modal]</f>
        <v>96000</v>
      </c>
      <c r="M228" t="s">
        <v>14</v>
      </c>
      <c r="N228" t="s">
        <v>29</v>
      </c>
      <c r="V228" t="s">
        <v>83</v>
      </c>
      <c r="W228" s="16">
        <f>SUMIF(DataClean[Nama_Toko],V228,DataClean[Total_Penjualan])</f>
        <v>275000</v>
      </c>
    </row>
    <row r="229" spans="1:23" x14ac:dyDescent="0.25">
      <c r="A229" s="2">
        <v>45913</v>
      </c>
      <c r="B229">
        <f>YEAR(DataClean[[#This Row],[Tanggal]])</f>
        <v>2025</v>
      </c>
      <c r="C229" t="s">
        <v>729</v>
      </c>
      <c r="D229" t="s">
        <v>299</v>
      </c>
      <c r="E229" t="s">
        <v>33</v>
      </c>
      <c r="F229" t="s">
        <v>730</v>
      </c>
      <c r="G229" s="11">
        <v>5</v>
      </c>
      <c r="H229" s="16">
        <v>55000</v>
      </c>
      <c r="I229" s="16">
        <f>DataClean[Harga_Satuan]*0.6</f>
        <v>33000</v>
      </c>
      <c r="J229" s="16">
        <f>DataClean[Harga_Satuan]-DataClean[Modal]</f>
        <v>22000</v>
      </c>
      <c r="K229" s="16">
        <f>DataClean[[#This Row],[Qty]]*DataClean[[#This Row],[Harga_Satuan]]</f>
        <v>275000</v>
      </c>
      <c r="L229" s="16">
        <f>DataClean[Total_Penjualan]-DataClean[Modal]</f>
        <v>242000</v>
      </c>
      <c r="M229" t="s">
        <v>45</v>
      </c>
      <c r="N229" t="s">
        <v>15</v>
      </c>
      <c r="V229" t="s">
        <v>693</v>
      </c>
      <c r="W229" s="16">
        <f>SUMIF(DataClean[Nama_Toko],V229,DataClean[Total_Penjualan])</f>
        <v>300000</v>
      </c>
    </row>
    <row r="230" spans="1:23" x14ac:dyDescent="0.25">
      <c r="A230" s="2">
        <v>45023</v>
      </c>
      <c r="B230">
        <f>YEAR(DataClean[[#This Row],[Tanggal]])</f>
        <v>2023</v>
      </c>
      <c r="C230" t="s">
        <v>731</v>
      </c>
      <c r="D230" t="s">
        <v>596</v>
      </c>
      <c r="E230" t="s">
        <v>12</v>
      </c>
      <c r="F230" t="s">
        <v>732</v>
      </c>
      <c r="G230" s="11">
        <v>4</v>
      </c>
      <c r="H230" s="16">
        <v>55000</v>
      </c>
      <c r="I230" s="16">
        <f>DataClean[Harga_Satuan]*0.6</f>
        <v>33000</v>
      </c>
      <c r="J230" s="16">
        <f>DataClean[Harga_Satuan]-DataClean[Modal]</f>
        <v>22000</v>
      </c>
      <c r="K230" s="16">
        <f>DataClean[[#This Row],[Qty]]*DataClean[[#This Row],[Harga_Satuan]]</f>
        <v>220000</v>
      </c>
      <c r="L230" s="16">
        <f>DataClean[Total_Penjualan]-DataClean[Modal]</f>
        <v>187000</v>
      </c>
      <c r="M230" t="s">
        <v>71</v>
      </c>
      <c r="N230" t="s">
        <v>22</v>
      </c>
      <c r="V230" t="s">
        <v>182</v>
      </c>
      <c r="W230" s="16">
        <f>SUMIF(DataClean[Nama_Toko],V230,DataClean[Total_Penjualan])</f>
        <v>155000</v>
      </c>
    </row>
    <row r="231" spans="1:23" x14ac:dyDescent="0.25">
      <c r="A231" s="2">
        <v>45513</v>
      </c>
      <c r="B231">
        <f>YEAR(DataClean[[#This Row],[Tanggal]])</f>
        <v>2024</v>
      </c>
      <c r="C231" t="s">
        <v>733</v>
      </c>
      <c r="D231" t="s">
        <v>466</v>
      </c>
      <c r="E231" t="s">
        <v>43</v>
      </c>
      <c r="F231" t="s">
        <v>734</v>
      </c>
      <c r="G231" s="11">
        <v>1</v>
      </c>
      <c r="H231" s="16">
        <v>300000</v>
      </c>
      <c r="I231" s="16">
        <f>DataClean[Harga_Satuan]*0.6</f>
        <v>180000</v>
      </c>
      <c r="J231" s="16">
        <f>DataClean[Harga_Satuan]-DataClean[Modal]</f>
        <v>120000</v>
      </c>
      <c r="K231" s="16">
        <f>DataClean[[#This Row],[Qty]]*DataClean[[#This Row],[Harga_Satuan]]</f>
        <v>300000</v>
      </c>
      <c r="L231" s="16">
        <f>DataClean[Total_Penjualan]-DataClean[Modal]</f>
        <v>120000</v>
      </c>
      <c r="M231" t="s">
        <v>67</v>
      </c>
      <c r="N231" t="s">
        <v>15</v>
      </c>
      <c r="V231" t="s">
        <v>726</v>
      </c>
      <c r="W231" s="16">
        <f>SUMIF(DataClean[Nama_Toko],V231,DataClean[Total_Penjualan])</f>
        <v>120000</v>
      </c>
    </row>
    <row r="232" spans="1:23" x14ac:dyDescent="0.25">
      <c r="A232" s="2">
        <v>45924</v>
      </c>
      <c r="B232">
        <f>YEAR(DataClean[[#This Row],[Tanggal]])</f>
        <v>2025</v>
      </c>
      <c r="C232" t="s">
        <v>735</v>
      </c>
      <c r="D232" t="s">
        <v>385</v>
      </c>
      <c r="E232" t="s">
        <v>48</v>
      </c>
      <c r="F232" t="s">
        <v>736</v>
      </c>
      <c r="G232" s="11">
        <v>7</v>
      </c>
      <c r="H232" s="16">
        <v>30000</v>
      </c>
      <c r="I232" s="16">
        <f>DataClean[Harga_Satuan]*0.6</f>
        <v>18000</v>
      </c>
      <c r="J232" s="16">
        <f>DataClean[Harga_Satuan]-DataClean[Modal]</f>
        <v>12000</v>
      </c>
      <c r="K232" s="16">
        <f>DataClean[[#This Row],[Qty]]*DataClean[[#This Row],[Harga_Satuan]]</f>
        <v>210000</v>
      </c>
      <c r="L232" s="16">
        <f>DataClean[Total_Penjualan]-DataClean[Modal]</f>
        <v>192000</v>
      </c>
      <c r="M232" t="s">
        <v>21</v>
      </c>
      <c r="N232" t="s">
        <v>29</v>
      </c>
      <c r="V232" t="s">
        <v>404</v>
      </c>
      <c r="W232" s="16">
        <f>SUMIF(DataClean[Nama_Toko],V232,DataClean[Total_Penjualan])</f>
        <v>370000</v>
      </c>
    </row>
    <row r="233" spans="1:23" x14ac:dyDescent="0.25">
      <c r="A233" s="2">
        <v>45383</v>
      </c>
      <c r="B233">
        <f>YEAR(DataClean[[#This Row],[Tanggal]])</f>
        <v>2024</v>
      </c>
      <c r="C233" t="s">
        <v>737</v>
      </c>
      <c r="D233" t="s">
        <v>214</v>
      </c>
      <c r="E233" t="s">
        <v>12</v>
      </c>
      <c r="F233" t="s">
        <v>738</v>
      </c>
      <c r="G233" s="11">
        <v>5</v>
      </c>
      <c r="H233" s="16">
        <v>24000</v>
      </c>
      <c r="I233" s="16">
        <f>DataClean[Harga_Satuan]*0.6</f>
        <v>14400</v>
      </c>
      <c r="J233" s="16">
        <f>DataClean[Harga_Satuan]-DataClean[Modal]</f>
        <v>9600</v>
      </c>
      <c r="K233" s="16">
        <f>DataClean[[#This Row],[Qty]]*DataClean[[#This Row],[Harga_Satuan]]</f>
        <v>120000</v>
      </c>
      <c r="L233" s="16">
        <f>DataClean[Total_Penjualan]-DataClean[Modal]</f>
        <v>105600</v>
      </c>
      <c r="M233" t="s">
        <v>53</v>
      </c>
      <c r="N233" t="s">
        <v>15</v>
      </c>
      <c r="V233" t="s">
        <v>358</v>
      </c>
      <c r="W233" s="16">
        <f>SUMIF(DataClean[Nama_Toko],V233,DataClean[Total_Penjualan])</f>
        <v>180000</v>
      </c>
    </row>
    <row r="234" spans="1:23" x14ac:dyDescent="0.25">
      <c r="A234" s="2">
        <v>45977</v>
      </c>
      <c r="B234">
        <f>YEAR(DataClean[[#This Row],[Tanggal]])</f>
        <v>2025</v>
      </c>
      <c r="C234" t="s">
        <v>739</v>
      </c>
      <c r="D234" t="s">
        <v>198</v>
      </c>
      <c r="E234" t="s">
        <v>19</v>
      </c>
      <c r="F234" t="s">
        <v>740</v>
      </c>
      <c r="G234" s="11">
        <v>15</v>
      </c>
      <c r="H234" s="16">
        <v>6500</v>
      </c>
      <c r="I234" s="16">
        <f>DataClean[Harga_Satuan]*0.6</f>
        <v>3900</v>
      </c>
      <c r="J234" s="16">
        <f>DataClean[Harga_Satuan]-DataClean[Modal]</f>
        <v>2600</v>
      </c>
      <c r="K234" s="16">
        <f>DataClean[[#This Row],[Qty]]*DataClean[[#This Row],[Harga_Satuan]]</f>
        <v>97500</v>
      </c>
      <c r="L234" s="16">
        <f>DataClean[Total_Penjualan]-DataClean[Modal]</f>
        <v>93600</v>
      </c>
      <c r="M234" t="s">
        <v>28</v>
      </c>
      <c r="N234" t="s">
        <v>22</v>
      </c>
      <c r="V234" t="s">
        <v>511</v>
      </c>
      <c r="W234" s="16">
        <f>SUMIF(DataClean[Nama_Toko],V234,DataClean[Total_Penjualan])</f>
        <v>450000</v>
      </c>
    </row>
    <row r="235" spans="1:23" x14ac:dyDescent="0.25">
      <c r="A235" s="2">
        <v>45400</v>
      </c>
      <c r="B235">
        <f>YEAR(DataClean[[#This Row],[Tanggal]])</f>
        <v>2024</v>
      </c>
      <c r="C235" t="s">
        <v>741</v>
      </c>
      <c r="D235" t="s">
        <v>742</v>
      </c>
      <c r="E235" t="s">
        <v>26</v>
      </c>
      <c r="F235" t="s">
        <v>743</v>
      </c>
      <c r="G235" s="11">
        <v>2</v>
      </c>
      <c r="H235" s="16">
        <v>90000</v>
      </c>
      <c r="I235" s="16">
        <f>DataClean[Harga_Satuan]*0.6</f>
        <v>54000</v>
      </c>
      <c r="J235" s="16">
        <f>DataClean[Harga_Satuan]-DataClean[Modal]</f>
        <v>36000</v>
      </c>
      <c r="K235" s="16">
        <f>DataClean[[#This Row],[Qty]]*DataClean[[#This Row],[Harga_Satuan]]</f>
        <v>180000</v>
      </c>
      <c r="L235" s="16">
        <f>DataClean[Total_Penjualan]-DataClean[Modal]</f>
        <v>126000</v>
      </c>
      <c r="M235" t="s">
        <v>39</v>
      </c>
      <c r="N235" t="s">
        <v>29</v>
      </c>
      <c r="V235" t="s">
        <v>11</v>
      </c>
      <c r="W235" s="16">
        <f>SUMIF(DataClean[Nama_Toko],V235,DataClean[Total_Penjualan])</f>
        <v>10500</v>
      </c>
    </row>
    <row r="236" spans="1:23" x14ac:dyDescent="0.25">
      <c r="A236" s="2">
        <v>45681</v>
      </c>
      <c r="B236">
        <f>YEAR(DataClean[[#This Row],[Tanggal]])</f>
        <v>2025</v>
      </c>
      <c r="C236" t="s">
        <v>744</v>
      </c>
      <c r="D236" t="s">
        <v>349</v>
      </c>
      <c r="E236" t="s">
        <v>33</v>
      </c>
      <c r="F236" t="s">
        <v>745</v>
      </c>
      <c r="G236" s="11">
        <v>10</v>
      </c>
      <c r="H236" s="16">
        <v>20000</v>
      </c>
      <c r="I236" s="16">
        <f>DataClean[Harga_Satuan]*0.6</f>
        <v>12000</v>
      </c>
      <c r="J236" s="16">
        <f>DataClean[Harga_Satuan]-DataClean[Modal]</f>
        <v>8000</v>
      </c>
      <c r="K236" s="16">
        <f>DataClean[[#This Row],[Qty]]*DataClean[[#This Row],[Harga_Satuan]]</f>
        <v>200000</v>
      </c>
      <c r="L236" s="16">
        <f>DataClean[Total_Penjualan]-DataClean[Modal]</f>
        <v>188000</v>
      </c>
      <c r="M236" t="s">
        <v>93</v>
      </c>
      <c r="N236" t="s">
        <v>15</v>
      </c>
      <c r="V236" t="s">
        <v>18</v>
      </c>
      <c r="W236" s="16">
        <f>SUMIF(DataClean[Nama_Toko],V236,DataClean[Total_Penjualan])</f>
        <v>40000</v>
      </c>
    </row>
    <row r="237" spans="1:23" x14ac:dyDescent="0.25">
      <c r="A237" s="2">
        <v>45974</v>
      </c>
      <c r="B237">
        <f>YEAR(DataClean[[#This Row],[Tanggal]])</f>
        <v>2025</v>
      </c>
      <c r="C237" t="s">
        <v>746</v>
      </c>
      <c r="D237" t="s">
        <v>110</v>
      </c>
      <c r="E237" t="s">
        <v>12</v>
      </c>
      <c r="F237" t="s">
        <v>747</v>
      </c>
      <c r="G237" s="11">
        <v>2</v>
      </c>
      <c r="H237" s="16">
        <v>30000</v>
      </c>
      <c r="I237" s="16">
        <f>DataClean[Harga_Satuan]*0.6</f>
        <v>18000</v>
      </c>
      <c r="J237" s="16">
        <f>DataClean[Harga_Satuan]-DataClean[Modal]</f>
        <v>12000</v>
      </c>
      <c r="K237" s="16">
        <f>DataClean[[#This Row],[Qty]]*DataClean[[#This Row],[Harga_Satuan]]</f>
        <v>60000</v>
      </c>
      <c r="L237" s="16">
        <f>DataClean[Total_Penjualan]-DataClean[Modal]</f>
        <v>42000</v>
      </c>
      <c r="M237" t="s">
        <v>45</v>
      </c>
      <c r="N237" t="s">
        <v>22</v>
      </c>
      <c r="V237" t="s">
        <v>25</v>
      </c>
      <c r="W237" s="16">
        <f>SUMIF(DataClean[Nama_Toko],V237,DataClean[Total_Penjualan])</f>
        <v>25000</v>
      </c>
    </row>
    <row r="238" spans="1:23" x14ac:dyDescent="0.25">
      <c r="A238" s="2">
        <v>45893</v>
      </c>
      <c r="B238">
        <f>YEAR(DataClean[[#This Row],[Tanggal]])</f>
        <v>2025</v>
      </c>
      <c r="C238" t="s">
        <v>748</v>
      </c>
      <c r="D238" t="s">
        <v>547</v>
      </c>
      <c r="E238" t="s">
        <v>43</v>
      </c>
      <c r="F238" t="s">
        <v>749</v>
      </c>
      <c r="G238" s="11">
        <v>1</v>
      </c>
      <c r="H238" s="16">
        <v>280000</v>
      </c>
      <c r="I238" s="16">
        <f>DataClean[Harga_Satuan]*0.6</f>
        <v>168000</v>
      </c>
      <c r="J238" s="16">
        <f>DataClean[Harga_Satuan]-DataClean[Modal]</f>
        <v>112000</v>
      </c>
      <c r="K238" s="16">
        <f>DataClean[[#This Row],[Qty]]*DataClean[[#This Row],[Harga_Satuan]]</f>
        <v>280000</v>
      </c>
      <c r="L238" s="16">
        <f>DataClean[Total_Penjualan]-DataClean[Modal]</f>
        <v>112000</v>
      </c>
      <c r="M238" t="s">
        <v>71</v>
      </c>
      <c r="N238" t="s">
        <v>15</v>
      </c>
      <c r="V238" t="s">
        <v>32</v>
      </c>
      <c r="W238" s="16">
        <f>SUMIF(DataClean[Nama_Toko],V238,DataClean[Total_Penjualan])</f>
        <v>36000</v>
      </c>
    </row>
    <row r="239" spans="1:23" x14ac:dyDescent="0.25">
      <c r="A239" s="2">
        <v>45232</v>
      </c>
      <c r="B239">
        <f>YEAR(DataClean[[#This Row],[Tanggal]])</f>
        <v>2023</v>
      </c>
      <c r="C239" t="s">
        <v>750</v>
      </c>
      <c r="D239" t="s">
        <v>222</v>
      </c>
      <c r="E239" t="s">
        <v>48</v>
      </c>
      <c r="F239" t="s">
        <v>751</v>
      </c>
      <c r="G239" s="11">
        <v>4</v>
      </c>
      <c r="H239" s="16">
        <v>80000</v>
      </c>
      <c r="I239" s="16">
        <f>DataClean[Harga_Satuan]*0.6</f>
        <v>48000</v>
      </c>
      <c r="J239" s="16">
        <f>DataClean[Harga_Satuan]-DataClean[Modal]</f>
        <v>32000</v>
      </c>
      <c r="K239" s="16">
        <f>DataClean[[#This Row],[Qty]]*DataClean[[#This Row],[Harga_Satuan]]</f>
        <v>320000</v>
      </c>
      <c r="L239" s="16">
        <f>DataClean[Total_Penjualan]-DataClean[Modal]</f>
        <v>272000</v>
      </c>
      <c r="M239" t="s">
        <v>67</v>
      </c>
      <c r="N239" t="s">
        <v>29</v>
      </c>
      <c r="V239" t="s">
        <v>37</v>
      </c>
      <c r="W239" s="16">
        <f>SUMIF(DataClean[Nama_Toko],V239,DataClean[Total_Penjualan])</f>
        <v>150000</v>
      </c>
    </row>
    <row r="240" spans="1:23" x14ac:dyDescent="0.25">
      <c r="A240" s="2">
        <v>45116</v>
      </c>
      <c r="B240">
        <f>YEAR(DataClean[[#This Row],[Tanggal]])</f>
        <v>2023</v>
      </c>
      <c r="C240" t="s">
        <v>752</v>
      </c>
      <c r="D240" t="s">
        <v>98</v>
      </c>
      <c r="E240" t="s">
        <v>12</v>
      </c>
      <c r="F240" t="s">
        <v>753</v>
      </c>
      <c r="G240" s="11">
        <v>9</v>
      </c>
      <c r="H240" s="16">
        <v>15000</v>
      </c>
      <c r="I240" s="16">
        <f>DataClean[Harga_Satuan]*0.6</f>
        <v>9000</v>
      </c>
      <c r="J240" s="16">
        <f>DataClean[Harga_Satuan]-DataClean[Modal]</f>
        <v>6000</v>
      </c>
      <c r="K240" s="16">
        <f>DataClean[[#This Row],[Qty]]*DataClean[[#This Row],[Harga_Satuan]]</f>
        <v>135000</v>
      </c>
      <c r="L240" s="16">
        <f>DataClean[Total_Penjualan]-DataClean[Modal]</f>
        <v>126000</v>
      </c>
      <c r="M240" t="s">
        <v>21</v>
      </c>
      <c r="N240" t="s">
        <v>15</v>
      </c>
      <c r="V240" t="s">
        <v>47</v>
      </c>
      <c r="W240" s="16">
        <f>SUMIF(DataClean[Nama_Toko],V240,DataClean[Total_Penjualan])</f>
        <v>15000</v>
      </c>
    </row>
    <row r="241" spans="1:23" x14ac:dyDescent="0.25">
      <c r="A241" s="2">
        <v>45033</v>
      </c>
      <c r="B241">
        <f>YEAR(DataClean[[#This Row],[Tanggal]])</f>
        <v>2023</v>
      </c>
      <c r="C241" t="s">
        <v>754</v>
      </c>
      <c r="D241" t="s">
        <v>168</v>
      </c>
      <c r="E241" t="s">
        <v>19</v>
      </c>
      <c r="F241" t="s">
        <v>755</v>
      </c>
      <c r="G241" s="11">
        <v>3</v>
      </c>
      <c r="H241" s="16">
        <v>55000</v>
      </c>
      <c r="I241" s="16">
        <f>DataClean[Harga_Satuan]*0.6</f>
        <v>33000</v>
      </c>
      <c r="J241" s="16">
        <f>DataClean[Harga_Satuan]-DataClean[Modal]</f>
        <v>22000</v>
      </c>
      <c r="K241" s="16">
        <f>DataClean[[#This Row],[Qty]]*DataClean[[#This Row],[Harga_Satuan]]</f>
        <v>165000</v>
      </c>
      <c r="L241" s="16">
        <f>DataClean[Total_Penjualan]-DataClean[Modal]</f>
        <v>132000</v>
      </c>
      <c r="M241" t="s">
        <v>53</v>
      </c>
      <c r="N241" t="s">
        <v>22</v>
      </c>
      <c r="V241" t="s">
        <v>51</v>
      </c>
      <c r="W241" s="16">
        <f>SUMIF(DataClean[Nama_Toko],V241,DataClean[Total_Penjualan])</f>
        <v>114000</v>
      </c>
    </row>
    <row r="242" spans="1:23" x14ac:dyDescent="0.25">
      <c r="A242" s="2">
        <v>45787</v>
      </c>
      <c r="B242">
        <f>YEAR(DataClean[[#This Row],[Tanggal]])</f>
        <v>2025</v>
      </c>
      <c r="C242" t="s">
        <v>756</v>
      </c>
      <c r="D242" t="s">
        <v>259</v>
      </c>
      <c r="E242" t="s">
        <v>26</v>
      </c>
      <c r="F242" t="s">
        <v>757</v>
      </c>
      <c r="G242" s="11">
        <v>1</v>
      </c>
      <c r="H242" s="16">
        <v>450000</v>
      </c>
      <c r="I242" s="16">
        <f>DataClean[Harga_Satuan]*0.6</f>
        <v>270000</v>
      </c>
      <c r="J242" s="16">
        <f>DataClean[Harga_Satuan]-DataClean[Modal]</f>
        <v>180000</v>
      </c>
      <c r="K242" s="16">
        <f>DataClean[[#This Row],[Qty]]*DataClean[[#This Row],[Harga_Satuan]]</f>
        <v>450000</v>
      </c>
      <c r="L242" s="16">
        <f>DataClean[Total_Penjualan]-DataClean[Modal]</f>
        <v>180000</v>
      </c>
      <c r="M242" t="s">
        <v>28</v>
      </c>
      <c r="N242" t="s">
        <v>29</v>
      </c>
      <c r="V242" t="s">
        <v>813</v>
      </c>
      <c r="W242" s="16">
        <v>109527000</v>
      </c>
    </row>
    <row r="243" spans="1:23" x14ac:dyDescent="0.25">
      <c r="A243" s="2">
        <v>46015</v>
      </c>
      <c r="B243">
        <f>YEAR(DataClean[[#This Row],[Tanggal]])</f>
        <v>2025</v>
      </c>
      <c r="C243" t="s">
        <v>758</v>
      </c>
      <c r="D243" t="s">
        <v>255</v>
      </c>
      <c r="E243" t="s">
        <v>33</v>
      </c>
      <c r="F243" t="s">
        <v>759</v>
      </c>
      <c r="G243" s="11">
        <v>2</v>
      </c>
      <c r="H243" s="16">
        <v>120000</v>
      </c>
      <c r="I243" s="16">
        <f>DataClean[Harga_Satuan]*0.6</f>
        <v>72000</v>
      </c>
      <c r="J243" s="16">
        <f>DataClean[Harga_Satuan]-DataClean[Modal]</f>
        <v>48000</v>
      </c>
      <c r="K243" s="16">
        <f>DataClean[[#This Row],[Qty]]*DataClean[[#This Row],[Harga_Satuan]]</f>
        <v>240000</v>
      </c>
      <c r="L243" s="16">
        <f>DataClean[Total_Penjualan]-DataClean[Modal]</f>
        <v>168000</v>
      </c>
      <c r="M243" t="s">
        <v>59</v>
      </c>
      <c r="N243" t="s">
        <v>15</v>
      </c>
    </row>
    <row r="244" spans="1:23" x14ac:dyDescent="0.25">
      <c r="A244" s="2">
        <v>45881</v>
      </c>
      <c r="B244">
        <f>YEAR(DataClean[[#This Row],[Tanggal]])</f>
        <v>2025</v>
      </c>
      <c r="C244" t="s">
        <v>760</v>
      </c>
      <c r="D244" t="s">
        <v>65</v>
      </c>
      <c r="E244" t="s">
        <v>12</v>
      </c>
      <c r="F244" t="s">
        <v>761</v>
      </c>
      <c r="G244" s="11">
        <v>5</v>
      </c>
      <c r="H244" s="16">
        <v>18000</v>
      </c>
      <c r="I244" s="16">
        <f>DataClean[Harga_Satuan]*0.6</f>
        <v>10800</v>
      </c>
      <c r="J244" s="16">
        <f>DataClean[Harga_Satuan]-DataClean[Modal]</f>
        <v>7200</v>
      </c>
      <c r="K244" s="16">
        <f>DataClean[[#This Row],[Qty]]*DataClean[[#This Row],[Harga_Satuan]]</f>
        <v>90000</v>
      </c>
      <c r="L244" s="16">
        <f>DataClean[Total_Penjualan]-DataClean[Modal]</f>
        <v>79200</v>
      </c>
      <c r="M244" t="s">
        <v>14</v>
      </c>
      <c r="N244" t="s">
        <v>22</v>
      </c>
    </row>
    <row r="245" spans="1:23" x14ac:dyDescent="0.25">
      <c r="A245" s="2">
        <v>45365</v>
      </c>
      <c r="B245">
        <f>YEAR(DataClean[[#This Row],[Tanggal]])</f>
        <v>2024</v>
      </c>
      <c r="C245" t="s">
        <v>762</v>
      </c>
      <c r="D245" t="s">
        <v>42</v>
      </c>
      <c r="E245" t="s">
        <v>43</v>
      </c>
      <c r="F245" t="s">
        <v>763</v>
      </c>
      <c r="G245" s="11">
        <v>6</v>
      </c>
      <c r="H245" s="16">
        <v>75000</v>
      </c>
      <c r="I245" s="16">
        <f>DataClean[Harga_Satuan]*0.6</f>
        <v>45000</v>
      </c>
      <c r="J245" s="16">
        <f>DataClean[Harga_Satuan]-DataClean[Modal]</f>
        <v>30000</v>
      </c>
      <c r="K245" s="16">
        <f>DataClean[[#This Row],[Qty]]*DataClean[[#This Row],[Harga_Satuan]]</f>
        <v>450000</v>
      </c>
      <c r="L245" s="16">
        <f>DataClean[Total_Penjualan]-DataClean[Modal]</f>
        <v>405000</v>
      </c>
      <c r="M245" t="s">
        <v>45</v>
      </c>
      <c r="N245" t="s">
        <v>15</v>
      </c>
    </row>
    <row r="246" spans="1:23" x14ac:dyDescent="0.25">
      <c r="A246" s="2">
        <v>45775</v>
      </c>
      <c r="B246">
        <f>YEAR(DataClean[[#This Row],[Tanggal]])</f>
        <v>2025</v>
      </c>
      <c r="C246" t="s">
        <v>764</v>
      </c>
      <c r="D246" t="s">
        <v>77</v>
      </c>
      <c r="E246" t="s">
        <v>48</v>
      </c>
      <c r="F246" t="s">
        <v>765</v>
      </c>
      <c r="G246" s="11">
        <v>12</v>
      </c>
      <c r="H246" s="16">
        <v>15000</v>
      </c>
      <c r="I246" s="16">
        <f>DataClean[Harga_Satuan]*0.6</f>
        <v>9000</v>
      </c>
      <c r="J246" s="16">
        <f>DataClean[Harga_Satuan]-DataClean[Modal]</f>
        <v>6000</v>
      </c>
      <c r="K246" s="16">
        <f>DataClean[[#This Row],[Qty]]*DataClean[[#This Row],[Harga_Satuan]]</f>
        <v>180000</v>
      </c>
      <c r="L246" s="16">
        <f>DataClean[Total_Penjualan]-DataClean[Modal]</f>
        <v>171000</v>
      </c>
      <c r="M246" t="s">
        <v>71</v>
      </c>
      <c r="N246" t="s">
        <v>29</v>
      </c>
    </row>
    <row r="247" spans="1:23" x14ac:dyDescent="0.25">
      <c r="A247" s="2">
        <v>45933</v>
      </c>
      <c r="B247">
        <f>YEAR(DataClean[[#This Row],[Tanggal]])</f>
        <v>2025</v>
      </c>
      <c r="C247" t="s">
        <v>766</v>
      </c>
      <c r="D247" t="s">
        <v>351</v>
      </c>
      <c r="E247" t="s">
        <v>12</v>
      </c>
      <c r="F247" t="s">
        <v>767</v>
      </c>
      <c r="G247" s="11">
        <v>4</v>
      </c>
      <c r="H247" s="16">
        <v>32000</v>
      </c>
      <c r="I247" s="16">
        <f>DataClean[Harga_Satuan]*0.6</f>
        <v>19200</v>
      </c>
      <c r="J247" s="16">
        <f>DataClean[Harga_Satuan]-DataClean[Modal]</f>
        <v>12800</v>
      </c>
      <c r="K247" s="16">
        <f>DataClean[[#This Row],[Qty]]*DataClean[[#This Row],[Harga_Satuan]]</f>
        <v>128000</v>
      </c>
      <c r="L247" s="16">
        <f>DataClean[Total_Penjualan]-DataClean[Modal]</f>
        <v>108800</v>
      </c>
      <c r="M247" t="s">
        <v>67</v>
      </c>
      <c r="N247" t="s">
        <v>15</v>
      </c>
    </row>
    <row r="248" spans="1:23" x14ac:dyDescent="0.25">
      <c r="A248" s="2">
        <v>45063</v>
      </c>
      <c r="B248">
        <f>YEAR(DataClean[[#This Row],[Tanggal]])</f>
        <v>2023</v>
      </c>
      <c r="C248" t="s">
        <v>768</v>
      </c>
      <c r="D248" t="s">
        <v>74</v>
      </c>
      <c r="E248" t="s">
        <v>19</v>
      </c>
      <c r="F248" t="s">
        <v>769</v>
      </c>
      <c r="G248" s="11">
        <v>8</v>
      </c>
      <c r="H248" s="16">
        <v>16000</v>
      </c>
      <c r="I248" s="16">
        <f>DataClean[Harga_Satuan]*0.6</f>
        <v>9600</v>
      </c>
      <c r="J248" s="16">
        <f>DataClean[Harga_Satuan]-DataClean[Modal]</f>
        <v>6400</v>
      </c>
      <c r="K248" s="16">
        <f>DataClean[[#This Row],[Qty]]*DataClean[[#This Row],[Harga_Satuan]]</f>
        <v>128000</v>
      </c>
      <c r="L248" s="16">
        <f>DataClean[Total_Penjualan]-DataClean[Modal]</f>
        <v>118400</v>
      </c>
      <c r="M248" t="s">
        <v>21</v>
      </c>
      <c r="N248" t="s">
        <v>22</v>
      </c>
    </row>
    <row r="249" spans="1:23" x14ac:dyDescent="0.25">
      <c r="A249" s="2">
        <v>45638</v>
      </c>
      <c r="B249">
        <f>YEAR(DataClean[[#This Row],[Tanggal]])</f>
        <v>2024</v>
      </c>
      <c r="C249" t="s">
        <v>771</v>
      </c>
      <c r="D249" t="s">
        <v>770</v>
      </c>
      <c r="E249" t="s">
        <v>26</v>
      </c>
      <c r="F249" t="s">
        <v>772</v>
      </c>
      <c r="G249" s="11">
        <v>1</v>
      </c>
      <c r="H249" s="16">
        <v>60000</v>
      </c>
      <c r="I249" s="16">
        <f>DataClean[Harga_Satuan]*0.6</f>
        <v>36000</v>
      </c>
      <c r="J249" s="16">
        <f>DataClean[Harga_Satuan]-DataClean[Modal]</f>
        <v>24000</v>
      </c>
      <c r="K249" s="16">
        <f>DataClean[[#This Row],[Qty]]*DataClean[[#This Row],[Harga_Satuan]]</f>
        <v>60000</v>
      </c>
      <c r="L249" s="16">
        <f>DataClean[Total_Penjualan]-DataClean[Modal]</f>
        <v>24000</v>
      </c>
      <c r="M249" t="s">
        <v>53</v>
      </c>
      <c r="N249" t="s">
        <v>29</v>
      </c>
    </row>
    <row r="250" spans="1:23" x14ac:dyDescent="0.25">
      <c r="A250" s="2">
        <v>45326</v>
      </c>
      <c r="B250">
        <f>YEAR(DataClean[[#This Row],[Tanggal]])</f>
        <v>2024</v>
      </c>
      <c r="C250" t="s">
        <v>773</v>
      </c>
      <c r="D250" t="s">
        <v>237</v>
      </c>
      <c r="E250" t="s">
        <v>33</v>
      </c>
      <c r="F250" t="s">
        <v>774</v>
      </c>
      <c r="G250" s="11">
        <v>3</v>
      </c>
      <c r="H250" s="16">
        <v>35000</v>
      </c>
      <c r="I250" s="16">
        <f>DataClean[Harga_Satuan]*0.6</f>
        <v>21000</v>
      </c>
      <c r="J250" s="16">
        <f>DataClean[Harga_Satuan]-DataClean[Modal]</f>
        <v>14000</v>
      </c>
      <c r="K250" s="16">
        <f>DataClean[[#This Row],[Qty]]*DataClean[[#This Row],[Harga_Satuan]]</f>
        <v>105000</v>
      </c>
      <c r="L250" s="16">
        <f>DataClean[Total_Penjualan]-DataClean[Modal]</f>
        <v>84000</v>
      </c>
      <c r="M250" t="s">
        <v>28</v>
      </c>
      <c r="N250" t="s">
        <v>15</v>
      </c>
    </row>
    <row r="251" spans="1:23" x14ac:dyDescent="0.25">
      <c r="A251" s="2">
        <v>45870</v>
      </c>
      <c r="B251">
        <f>YEAR(DataClean[[#This Row],[Tanggal]])</f>
        <v>2025</v>
      </c>
      <c r="C251" t="s">
        <v>775</v>
      </c>
      <c r="D251" t="s">
        <v>676</v>
      </c>
      <c r="E251" t="s">
        <v>12</v>
      </c>
      <c r="F251" t="s">
        <v>776</v>
      </c>
      <c r="G251" s="11">
        <v>10</v>
      </c>
      <c r="H251" s="16">
        <v>19000</v>
      </c>
      <c r="I251" s="16">
        <f>DataClean[Harga_Satuan]*0.6</f>
        <v>11400</v>
      </c>
      <c r="J251" s="16">
        <f>DataClean[Harga_Satuan]-DataClean[Modal]</f>
        <v>7600</v>
      </c>
      <c r="K251" s="16">
        <f>DataClean[[#This Row],[Qty]]*DataClean[[#This Row],[Harga_Satuan]]</f>
        <v>190000</v>
      </c>
      <c r="L251" s="16">
        <f>DataClean[Total_Penjualan]-DataClean[Modal]</f>
        <v>178600</v>
      </c>
      <c r="M251" t="s">
        <v>39</v>
      </c>
      <c r="N251" t="s">
        <v>22</v>
      </c>
    </row>
    <row r="252" spans="1:23" x14ac:dyDescent="0.25">
      <c r="A252" s="2">
        <v>45764</v>
      </c>
      <c r="B252">
        <f>YEAR(DataClean[[#This Row],[Tanggal]])</f>
        <v>2025</v>
      </c>
      <c r="C252" t="s">
        <v>777</v>
      </c>
      <c r="D252" t="s">
        <v>166</v>
      </c>
      <c r="E252" t="s">
        <v>43</v>
      </c>
      <c r="F252" t="s">
        <v>778</v>
      </c>
      <c r="G252" s="11">
        <v>1</v>
      </c>
      <c r="H252" s="16">
        <v>400000</v>
      </c>
      <c r="I252" s="16">
        <f>DataClean[Harga_Satuan]*0.6</f>
        <v>240000</v>
      </c>
      <c r="J252" s="16">
        <f>DataClean[Harga_Satuan]-DataClean[Modal]</f>
        <v>160000</v>
      </c>
      <c r="K252" s="16">
        <f>DataClean[[#This Row],[Qty]]*DataClean[[#This Row],[Harga_Satuan]]</f>
        <v>400000</v>
      </c>
      <c r="L252" s="16">
        <f>DataClean[Total_Penjualan]-DataClean[Modal]</f>
        <v>160000</v>
      </c>
      <c r="M252" t="s">
        <v>93</v>
      </c>
      <c r="N252" t="s">
        <v>15</v>
      </c>
    </row>
    <row r="253" spans="1:23" x14ac:dyDescent="0.25">
      <c r="A253" s="2">
        <v>45181</v>
      </c>
      <c r="B253">
        <f>YEAR(DataClean[[#This Row],[Tanggal]])</f>
        <v>2023</v>
      </c>
      <c r="C253" t="s">
        <v>779</v>
      </c>
      <c r="D253" t="s">
        <v>418</v>
      </c>
      <c r="E253" t="s">
        <v>48</v>
      </c>
      <c r="F253" t="s">
        <v>780</v>
      </c>
      <c r="G253" s="11">
        <v>2</v>
      </c>
      <c r="H253" s="16">
        <v>150000</v>
      </c>
      <c r="I253" s="16">
        <f>DataClean[Harga_Satuan]*0.6</f>
        <v>90000</v>
      </c>
      <c r="J253" s="16">
        <f>DataClean[Harga_Satuan]-DataClean[Modal]</f>
        <v>60000</v>
      </c>
      <c r="K253" s="16">
        <f>DataClean[[#This Row],[Qty]]*DataClean[[#This Row],[Harga_Satuan]]</f>
        <v>300000</v>
      </c>
      <c r="L253" s="16">
        <f>DataClean[Total_Penjualan]-DataClean[Modal]</f>
        <v>210000</v>
      </c>
      <c r="M253" t="s">
        <v>45</v>
      </c>
      <c r="N253" t="s">
        <v>29</v>
      </c>
    </row>
    <row r="254" spans="1:23" x14ac:dyDescent="0.25">
      <c r="A254" s="2">
        <v>45173</v>
      </c>
      <c r="B254">
        <f>YEAR(DataClean[[#This Row],[Tanggal]])</f>
        <v>2023</v>
      </c>
      <c r="C254" t="s">
        <v>781</v>
      </c>
      <c r="D254" t="s">
        <v>560</v>
      </c>
      <c r="E254" t="s">
        <v>12</v>
      </c>
      <c r="F254" t="s">
        <v>782</v>
      </c>
      <c r="G254" s="11">
        <v>5</v>
      </c>
      <c r="H254" s="16">
        <v>10000</v>
      </c>
      <c r="I254" s="16">
        <f>DataClean[Harga_Satuan]*0.6</f>
        <v>6000</v>
      </c>
      <c r="J254" s="16">
        <f>DataClean[Harga_Satuan]-DataClean[Modal]</f>
        <v>4000</v>
      </c>
      <c r="K254" s="16">
        <f>DataClean[[#This Row],[Qty]]*DataClean[[#This Row],[Harga_Satuan]]</f>
        <v>50000</v>
      </c>
      <c r="L254" s="16">
        <f>DataClean[Total_Penjualan]-DataClean[Modal]</f>
        <v>44000</v>
      </c>
      <c r="M254" t="s">
        <v>71</v>
      </c>
      <c r="N254" t="s">
        <v>15</v>
      </c>
    </row>
    <row r="255" spans="1:23" x14ac:dyDescent="0.25">
      <c r="A255" s="2">
        <v>45880</v>
      </c>
      <c r="B255">
        <f>YEAR(DataClean[[#This Row],[Tanggal]])</f>
        <v>2025</v>
      </c>
      <c r="C255" t="s">
        <v>783</v>
      </c>
      <c r="D255" t="s">
        <v>224</v>
      </c>
      <c r="E255" t="s">
        <v>19</v>
      </c>
      <c r="F255" t="s">
        <v>784</v>
      </c>
      <c r="G255" s="11">
        <v>2</v>
      </c>
      <c r="H255" s="16">
        <v>30000</v>
      </c>
      <c r="I255" s="16">
        <f>DataClean[Harga_Satuan]*0.6</f>
        <v>18000</v>
      </c>
      <c r="J255" s="16">
        <f>DataClean[Harga_Satuan]-DataClean[Modal]</f>
        <v>12000</v>
      </c>
      <c r="K255" s="16">
        <f>DataClean[[#This Row],[Qty]]*DataClean[[#This Row],[Harga_Satuan]]</f>
        <v>60000</v>
      </c>
      <c r="L255" s="16">
        <f>DataClean[Total_Penjualan]-DataClean[Modal]</f>
        <v>42000</v>
      </c>
      <c r="M255" t="s">
        <v>67</v>
      </c>
      <c r="N255" t="s">
        <v>22</v>
      </c>
    </row>
    <row r="256" spans="1:23" x14ac:dyDescent="0.25">
      <c r="A256" s="2">
        <v>45298</v>
      </c>
      <c r="B256">
        <f>YEAR(DataClean[[#This Row],[Tanggal]])</f>
        <v>2024</v>
      </c>
      <c r="C256" t="s">
        <v>785</v>
      </c>
      <c r="D256" t="s">
        <v>83</v>
      </c>
      <c r="E256" t="s">
        <v>26</v>
      </c>
      <c r="F256" t="s">
        <v>786</v>
      </c>
      <c r="G256" s="11">
        <v>4</v>
      </c>
      <c r="H256" s="16">
        <v>50000</v>
      </c>
      <c r="I256" s="16">
        <f>DataClean[Harga_Satuan]*0.6</f>
        <v>30000</v>
      </c>
      <c r="J256" s="16">
        <f>DataClean[Harga_Satuan]-DataClean[Modal]</f>
        <v>20000</v>
      </c>
      <c r="K256" s="16">
        <f>DataClean[[#This Row],[Qty]]*DataClean[[#This Row],[Harga_Satuan]]</f>
        <v>200000</v>
      </c>
      <c r="L256" s="16">
        <f>DataClean[Total_Penjualan]-DataClean[Modal]</f>
        <v>170000</v>
      </c>
      <c r="M256" t="s">
        <v>21</v>
      </c>
      <c r="N256" t="s">
        <v>29</v>
      </c>
    </row>
    <row r="257" spans="1:14" x14ac:dyDescent="0.25">
      <c r="A257" s="2">
        <v>45369</v>
      </c>
      <c r="B257">
        <f>YEAR(DataClean[[#This Row],[Tanggal]])</f>
        <v>2024</v>
      </c>
      <c r="C257" t="s">
        <v>787</v>
      </c>
      <c r="D257" t="s">
        <v>251</v>
      </c>
      <c r="E257" t="s">
        <v>33</v>
      </c>
      <c r="F257" t="s">
        <v>788</v>
      </c>
      <c r="G257" s="11">
        <v>1</v>
      </c>
      <c r="H257" s="16">
        <v>95000</v>
      </c>
      <c r="I257" s="16">
        <f>DataClean[Harga_Satuan]*0.6</f>
        <v>57000</v>
      </c>
      <c r="J257" s="16">
        <f>DataClean[Harga_Satuan]-DataClean[Modal]</f>
        <v>38000</v>
      </c>
      <c r="K257" s="16">
        <f>DataClean[[#This Row],[Qty]]*DataClean[[#This Row],[Harga_Satuan]]</f>
        <v>95000</v>
      </c>
      <c r="L257" s="16">
        <f>DataClean[Total_Penjualan]-DataClean[Modal]</f>
        <v>38000</v>
      </c>
      <c r="M257" t="s">
        <v>53</v>
      </c>
      <c r="N257" t="s">
        <v>15</v>
      </c>
    </row>
    <row r="258" spans="1:14" x14ac:dyDescent="0.25">
      <c r="A258" s="2">
        <v>45890</v>
      </c>
      <c r="B258">
        <f>YEAR(DataClean[[#This Row],[Tanggal]])</f>
        <v>2025</v>
      </c>
      <c r="C258" t="s">
        <v>789</v>
      </c>
      <c r="D258" t="s">
        <v>572</v>
      </c>
      <c r="E258" t="s">
        <v>12</v>
      </c>
      <c r="F258" t="s">
        <v>790</v>
      </c>
      <c r="G258" s="11">
        <v>7</v>
      </c>
      <c r="H258" s="16">
        <v>45000</v>
      </c>
      <c r="I258" s="16">
        <f>DataClean[Harga_Satuan]*0.6</f>
        <v>27000</v>
      </c>
      <c r="J258" s="16">
        <f>DataClean[Harga_Satuan]-DataClean[Modal]</f>
        <v>18000</v>
      </c>
      <c r="K258" s="16">
        <f>DataClean[[#This Row],[Qty]]*DataClean[[#This Row],[Harga_Satuan]]</f>
        <v>315000</v>
      </c>
      <c r="L258" s="16">
        <f>DataClean[Total_Penjualan]-DataClean[Modal]</f>
        <v>288000</v>
      </c>
      <c r="M258" t="s">
        <v>28</v>
      </c>
      <c r="N258" t="s">
        <v>22</v>
      </c>
    </row>
    <row r="259" spans="1:14" x14ac:dyDescent="0.25">
      <c r="A259" s="2">
        <v>45833</v>
      </c>
      <c r="B259">
        <f>YEAR(DataClean[[#This Row],[Tanggal]])</f>
        <v>2025</v>
      </c>
      <c r="C259" t="s">
        <v>791</v>
      </c>
      <c r="D259" t="s">
        <v>547</v>
      </c>
      <c r="E259" t="s">
        <v>43</v>
      </c>
      <c r="F259" t="s">
        <v>792</v>
      </c>
      <c r="G259" s="11">
        <v>3</v>
      </c>
      <c r="H259" s="16">
        <v>55000</v>
      </c>
      <c r="I259" s="16">
        <f>DataClean[Harga_Satuan]*0.6</f>
        <v>33000</v>
      </c>
      <c r="J259" s="16">
        <f>DataClean[Harga_Satuan]-DataClean[Modal]</f>
        <v>22000</v>
      </c>
      <c r="K259" s="16">
        <f>DataClean[[#This Row],[Qty]]*DataClean[[#This Row],[Harga_Satuan]]</f>
        <v>165000</v>
      </c>
      <c r="L259" s="16">
        <f>DataClean[Total_Penjualan]-DataClean[Modal]</f>
        <v>132000</v>
      </c>
      <c r="M259" t="s">
        <v>39</v>
      </c>
      <c r="N259" t="s">
        <v>15</v>
      </c>
    </row>
    <row r="260" spans="1:14" x14ac:dyDescent="0.25">
      <c r="A260" s="2">
        <v>45995</v>
      </c>
      <c r="B260">
        <f>YEAR(DataClean[[#This Row],[Tanggal]])</f>
        <v>2025</v>
      </c>
      <c r="C260" t="s">
        <v>793</v>
      </c>
      <c r="D260" t="s">
        <v>145</v>
      </c>
      <c r="E260" t="s">
        <v>48</v>
      </c>
      <c r="F260" t="s">
        <v>794</v>
      </c>
      <c r="G260" s="11">
        <v>1</v>
      </c>
      <c r="H260" s="16">
        <v>350000</v>
      </c>
      <c r="I260" s="16">
        <f>DataClean[Harga_Satuan]*0.6</f>
        <v>210000</v>
      </c>
      <c r="J260" s="16">
        <f>DataClean[Harga_Satuan]-DataClean[Modal]</f>
        <v>140000</v>
      </c>
      <c r="K260" s="16">
        <f>DataClean[[#This Row],[Qty]]*DataClean[[#This Row],[Harga_Satuan]]</f>
        <v>350000</v>
      </c>
      <c r="L260" s="16">
        <f>DataClean[Total_Penjualan]-DataClean[Modal]</f>
        <v>140000</v>
      </c>
      <c r="M260" t="s">
        <v>93</v>
      </c>
      <c r="N260" t="s">
        <v>29</v>
      </c>
    </row>
    <row r="261" spans="1:14" x14ac:dyDescent="0.25">
      <c r="A261" s="2">
        <v>44979</v>
      </c>
      <c r="B261">
        <f>YEAR(DataClean[[#This Row],[Tanggal]])</f>
        <v>2023</v>
      </c>
      <c r="C261" t="s">
        <v>795</v>
      </c>
      <c r="D261" t="s">
        <v>621</v>
      </c>
      <c r="E261" t="s">
        <v>12</v>
      </c>
      <c r="F261" t="s">
        <v>796</v>
      </c>
      <c r="G261" s="11">
        <v>8</v>
      </c>
      <c r="H261" s="16">
        <v>12000</v>
      </c>
      <c r="I261" s="16">
        <f>DataClean[Harga_Satuan]*0.6</f>
        <v>7200</v>
      </c>
      <c r="J261" s="16">
        <f>DataClean[Harga_Satuan]-DataClean[Modal]</f>
        <v>4800</v>
      </c>
      <c r="K261" s="16">
        <f>DataClean[[#This Row],[Qty]]*DataClean[[#This Row],[Harga_Satuan]]</f>
        <v>96000</v>
      </c>
      <c r="L261" s="16">
        <f>DataClean[Total_Penjualan]-DataClean[Modal]</f>
        <v>88800</v>
      </c>
      <c r="M261" t="s">
        <v>45</v>
      </c>
      <c r="N261" t="s">
        <v>15</v>
      </c>
    </row>
    <row r="262" spans="1:14" x14ac:dyDescent="0.25">
      <c r="A262" s="2">
        <v>45228</v>
      </c>
      <c r="B262">
        <f>YEAR(DataClean[[#This Row],[Tanggal]])</f>
        <v>2023</v>
      </c>
      <c r="C262" t="s">
        <v>797</v>
      </c>
      <c r="D262" t="s">
        <v>143</v>
      </c>
      <c r="E262" t="s">
        <v>19</v>
      </c>
      <c r="F262" t="s">
        <v>798</v>
      </c>
      <c r="G262" s="11">
        <v>10</v>
      </c>
      <c r="H262" s="16">
        <v>18000</v>
      </c>
      <c r="I262" s="16">
        <f>DataClean[Harga_Satuan]*0.6</f>
        <v>10800</v>
      </c>
      <c r="J262" s="16">
        <f>DataClean[Harga_Satuan]-DataClean[Modal]</f>
        <v>7200</v>
      </c>
      <c r="K262" s="16">
        <f>DataClean[[#This Row],[Qty]]*DataClean[[#This Row],[Harga_Satuan]]</f>
        <v>180000</v>
      </c>
      <c r="L262" s="16">
        <f>DataClean[Total_Penjualan]-DataClean[Modal]</f>
        <v>169200</v>
      </c>
      <c r="M262" t="s">
        <v>71</v>
      </c>
      <c r="N262" t="s">
        <v>22</v>
      </c>
    </row>
    <row r="263" spans="1:14" x14ac:dyDescent="0.25">
      <c r="A263" s="2">
        <v>45461</v>
      </c>
      <c r="B263">
        <f>YEAR(DataClean[[#This Row],[Tanggal]])</f>
        <v>2024</v>
      </c>
      <c r="C263" t="s">
        <v>799</v>
      </c>
      <c r="D263" t="s">
        <v>206</v>
      </c>
      <c r="E263" t="s">
        <v>26</v>
      </c>
      <c r="F263" t="s">
        <v>800</v>
      </c>
      <c r="G263" s="11">
        <v>5</v>
      </c>
      <c r="H263" s="16">
        <v>25000</v>
      </c>
      <c r="I263" s="16">
        <f>DataClean[Harga_Satuan]*0.6</f>
        <v>15000</v>
      </c>
      <c r="J263" s="16">
        <f>DataClean[Harga_Satuan]-DataClean[Modal]</f>
        <v>10000</v>
      </c>
      <c r="K263" s="16">
        <f>DataClean[[#This Row],[Qty]]*DataClean[[#This Row],[Harga_Satuan]]</f>
        <v>125000</v>
      </c>
      <c r="L263" s="16">
        <f>DataClean[Total_Penjualan]-DataClean[Modal]</f>
        <v>110000</v>
      </c>
      <c r="M263" t="s">
        <v>67</v>
      </c>
      <c r="N263" t="s">
        <v>29</v>
      </c>
    </row>
    <row r="264" spans="1:14" x14ac:dyDescent="0.25">
      <c r="A264" s="2">
        <v>45619</v>
      </c>
      <c r="B264">
        <f>YEAR(DataClean[[#This Row],[Tanggal]])</f>
        <v>2024</v>
      </c>
      <c r="C264" t="s">
        <v>801</v>
      </c>
      <c r="D264" t="s">
        <v>272</v>
      </c>
      <c r="E264" t="s">
        <v>33</v>
      </c>
      <c r="F264" t="s">
        <v>802</v>
      </c>
      <c r="G264" s="11">
        <v>15</v>
      </c>
      <c r="H264" s="16">
        <v>10000</v>
      </c>
      <c r="I264" s="16">
        <f>DataClean[Harga_Satuan]*0.6</f>
        <v>6000</v>
      </c>
      <c r="J264" s="16">
        <f>DataClean[Harga_Satuan]-DataClean[Modal]</f>
        <v>4000</v>
      </c>
      <c r="K264" s="16">
        <f>DataClean[[#This Row],[Qty]]*DataClean[[#This Row],[Harga_Satuan]]</f>
        <v>150000</v>
      </c>
      <c r="L264" s="16">
        <f>DataClean[Total_Penjualan]-DataClean[Modal]</f>
        <v>144000</v>
      </c>
      <c r="M264" t="s">
        <v>21</v>
      </c>
      <c r="N264" t="s">
        <v>15</v>
      </c>
    </row>
    <row r="265" spans="1:14" x14ac:dyDescent="0.25">
      <c r="A265" s="2">
        <v>45213</v>
      </c>
      <c r="B265">
        <f>YEAR(DataClean[[#This Row],[Tanggal]])</f>
        <v>2023</v>
      </c>
      <c r="C265" t="s">
        <v>803</v>
      </c>
      <c r="D265" t="s">
        <v>649</v>
      </c>
      <c r="E265" t="s">
        <v>12</v>
      </c>
      <c r="F265" t="s">
        <v>804</v>
      </c>
      <c r="G265" s="11">
        <v>20</v>
      </c>
      <c r="H265" s="16">
        <v>5000</v>
      </c>
      <c r="I265" s="16">
        <f>DataClean[Harga_Satuan]*0.6</f>
        <v>3000</v>
      </c>
      <c r="J265" s="16">
        <f>DataClean[Harga_Satuan]-DataClean[Modal]</f>
        <v>2000</v>
      </c>
      <c r="K265" s="16">
        <f>DataClean[[#This Row],[Qty]]*DataClean[[#This Row],[Harga_Satuan]]</f>
        <v>100000</v>
      </c>
      <c r="L265" s="16">
        <f>DataClean[Total_Penjualan]-DataClean[Modal]</f>
        <v>97000</v>
      </c>
      <c r="M265" t="s">
        <v>53</v>
      </c>
      <c r="N265" t="s">
        <v>22</v>
      </c>
    </row>
    <row r="266" spans="1:14" x14ac:dyDescent="0.25">
      <c r="A266" s="2">
        <v>45364</v>
      </c>
      <c r="B266">
        <f>YEAR(DataClean[[#This Row],[Tanggal]])</f>
        <v>2024</v>
      </c>
      <c r="C266" t="s">
        <v>805</v>
      </c>
      <c r="D266" t="s">
        <v>521</v>
      </c>
      <c r="E266" t="s">
        <v>43</v>
      </c>
      <c r="F266" t="s">
        <v>806</v>
      </c>
      <c r="G266" s="11">
        <v>4</v>
      </c>
      <c r="H266" s="16">
        <v>160000</v>
      </c>
      <c r="I266" s="16">
        <f>DataClean[Harga_Satuan]*0.6</f>
        <v>96000</v>
      </c>
      <c r="J266" s="16">
        <f>DataClean[Harga_Satuan]-DataClean[Modal]</f>
        <v>64000</v>
      </c>
      <c r="K266" s="16">
        <f>DataClean[[#This Row],[Qty]]*DataClean[[#This Row],[Harga_Satuan]]</f>
        <v>640000</v>
      </c>
      <c r="L266" s="16">
        <f>DataClean[Total_Penjualan]-DataClean[Modal]</f>
        <v>544000</v>
      </c>
      <c r="M266" t="s">
        <v>28</v>
      </c>
      <c r="N266" t="s">
        <v>15</v>
      </c>
    </row>
    <row r="267" spans="1:14" x14ac:dyDescent="0.25">
      <c r="A267" s="2">
        <v>45990</v>
      </c>
      <c r="B267">
        <f>YEAR(DataClean[[#This Row],[Tanggal]])</f>
        <v>2025</v>
      </c>
      <c r="C267" t="s">
        <v>807</v>
      </c>
      <c r="D267" t="s">
        <v>420</v>
      </c>
      <c r="E267" t="s">
        <v>48</v>
      </c>
      <c r="F267" t="s">
        <v>808</v>
      </c>
      <c r="G267" s="11">
        <v>8</v>
      </c>
      <c r="H267" s="16">
        <v>30000</v>
      </c>
      <c r="I267" s="16">
        <f>DataClean[Harga_Satuan]*0.6</f>
        <v>18000</v>
      </c>
      <c r="J267" s="16">
        <f>DataClean[Harga_Satuan]-DataClean[Modal]</f>
        <v>12000</v>
      </c>
      <c r="K267" s="16">
        <f>DataClean[[#This Row],[Qty]]*DataClean[[#This Row],[Harga_Satuan]]</f>
        <v>240000</v>
      </c>
      <c r="L267" s="16">
        <f>DataClean[Total_Penjualan]-DataClean[Modal]</f>
        <v>222000</v>
      </c>
      <c r="M267" t="s">
        <v>59</v>
      </c>
      <c r="N267" t="s">
        <v>29</v>
      </c>
    </row>
    <row r="268" spans="1:14" x14ac:dyDescent="0.25">
      <c r="A268" s="2">
        <v>45857</v>
      </c>
      <c r="B268">
        <f>YEAR(DataClean[[#This Row],[Tanggal]])</f>
        <v>2025</v>
      </c>
      <c r="C268" t="s">
        <v>809</v>
      </c>
      <c r="D268" t="s">
        <v>316</v>
      </c>
      <c r="E268" t="s">
        <v>12</v>
      </c>
      <c r="F268" t="s">
        <v>810</v>
      </c>
      <c r="G268" s="11">
        <v>3</v>
      </c>
      <c r="H268" s="16">
        <v>4500</v>
      </c>
      <c r="I268" s="16">
        <f>DataClean[Harga_Satuan]*0.6</f>
        <v>2700</v>
      </c>
      <c r="J268" s="16">
        <f>DataClean[Harga_Satuan]-DataClean[Modal]</f>
        <v>1800</v>
      </c>
      <c r="K268" s="16">
        <f>DataClean[[#This Row],[Qty]]*DataClean[[#This Row],[Harga_Satuan]]</f>
        <v>13500</v>
      </c>
      <c r="L268" s="16">
        <f>DataClean[Total_Penjualan]-DataClean[Modal]</f>
        <v>10800</v>
      </c>
      <c r="M268" t="s">
        <v>14</v>
      </c>
      <c r="N268" t="s">
        <v>15</v>
      </c>
    </row>
    <row r="269" spans="1:14" x14ac:dyDescent="0.25">
      <c r="A269" s="2">
        <v>45914</v>
      </c>
      <c r="B269">
        <f>YEAR(DataClean[[#This Row],[Tanggal]])</f>
        <v>2025</v>
      </c>
      <c r="C269" t="s">
        <v>811</v>
      </c>
      <c r="D269" t="s">
        <v>239</v>
      </c>
      <c r="E269" t="s">
        <v>19</v>
      </c>
      <c r="F269" t="s">
        <v>812</v>
      </c>
      <c r="G269" s="11">
        <v>12</v>
      </c>
      <c r="H269" s="16">
        <v>7000</v>
      </c>
      <c r="I269" s="16">
        <f>DataClean[Harga_Satuan]*0.6</f>
        <v>4200</v>
      </c>
      <c r="J269" s="16">
        <f>DataClean[Harga_Satuan]-DataClean[Modal]</f>
        <v>2800</v>
      </c>
      <c r="K269" s="16">
        <f>DataClean[[#This Row],[Qty]]*DataClean[[#This Row],[Harga_Satuan]]</f>
        <v>84000</v>
      </c>
      <c r="L269" s="16">
        <f>DataClean[Total_Penjualan]-DataClean[Modal]</f>
        <v>79800</v>
      </c>
      <c r="M269" t="s">
        <v>45</v>
      </c>
      <c r="N269" t="s">
        <v>22</v>
      </c>
    </row>
    <row r="270" spans="1:14" x14ac:dyDescent="0.25">
      <c r="A270" s="2">
        <v>45304</v>
      </c>
      <c r="B270">
        <f>YEAR(DataClean[[#This Row],[Tanggal]])</f>
        <v>2024</v>
      </c>
      <c r="C270" t="s">
        <v>814</v>
      </c>
      <c r="D270" t="s">
        <v>404</v>
      </c>
      <c r="E270" t="s">
        <v>26</v>
      </c>
      <c r="F270" t="s">
        <v>815</v>
      </c>
      <c r="G270" s="11">
        <v>1</v>
      </c>
      <c r="H270" s="16">
        <v>130000</v>
      </c>
      <c r="I270" s="16">
        <f>DataClean[Harga_Satuan]*0.6</f>
        <v>78000</v>
      </c>
      <c r="J270" s="16">
        <f>DataClean[Harga_Satuan]-DataClean[Modal]</f>
        <v>52000</v>
      </c>
      <c r="K270" s="16">
        <f>DataClean[[#This Row],[Qty]]*DataClean[[#This Row],[Harga_Satuan]]</f>
        <v>130000</v>
      </c>
      <c r="L270" s="16">
        <f>DataClean[Total_Penjualan]-DataClean[Modal]</f>
        <v>52000</v>
      </c>
      <c r="M270" t="s">
        <v>71</v>
      </c>
      <c r="N270" t="s">
        <v>29</v>
      </c>
    </row>
    <row r="271" spans="1:14" x14ac:dyDescent="0.25">
      <c r="A271" s="2">
        <v>45391</v>
      </c>
      <c r="B271">
        <f>YEAR(DataClean[[#This Row],[Tanggal]])</f>
        <v>2024</v>
      </c>
      <c r="C271" t="s">
        <v>816</v>
      </c>
      <c r="D271" t="s">
        <v>210</v>
      </c>
      <c r="E271" t="s">
        <v>33</v>
      </c>
      <c r="F271" t="s">
        <v>817</v>
      </c>
      <c r="G271" s="11">
        <v>2</v>
      </c>
      <c r="H271" s="16">
        <v>75000</v>
      </c>
      <c r="I271" s="16">
        <f>DataClean[Harga_Satuan]*0.6</f>
        <v>45000</v>
      </c>
      <c r="J271" s="16">
        <f>DataClean[Harga_Satuan]-DataClean[Modal]</f>
        <v>30000</v>
      </c>
      <c r="K271" s="16">
        <f>DataClean[[#This Row],[Qty]]*DataClean[[#This Row],[Harga_Satuan]]</f>
        <v>150000</v>
      </c>
      <c r="L271" s="16">
        <f>DataClean[Total_Penjualan]-DataClean[Modal]</f>
        <v>105000</v>
      </c>
      <c r="M271" t="s">
        <v>67</v>
      </c>
      <c r="N271" t="s">
        <v>15</v>
      </c>
    </row>
    <row r="272" spans="1:14" x14ac:dyDescent="0.25">
      <c r="A272" s="2">
        <v>45992</v>
      </c>
      <c r="B272">
        <f>YEAR(DataClean[[#This Row],[Tanggal]])</f>
        <v>2025</v>
      </c>
      <c r="C272" t="s">
        <v>818</v>
      </c>
      <c r="D272" t="s">
        <v>728</v>
      </c>
      <c r="E272" t="s">
        <v>12</v>
      </c>
      <c r="F272" t="s">
        <v>819</v>
      </c>
      <c r="G272" s="11">
        <v>5</v>
      </c>
      <c r="H272" s="16">
        <v>20000</v>
      </c>
      <c r="I272" s="16">
        <f>DataClean[Harga_Satuan]*0.6</f>
        <v>12000</v>
      </c>
      <c r="J272" s="16">
        <f>DataClean[Harga_Satuan]-DataClean[Modal]</f>
        <v>8000</v>
      </c>
      <c r="K272" s="16">
        <f>DataClean[[#This Row],[Qty]]*DataClean[[#This Row],[Harga_Satuan]]</f>
        <v>100000</v>
      </c>
      <c r="L272" s="16">
        <f>DataClean[Total_Penjualan]-DataClean[Modal]</f>
        <v>88000</v>
      </c>
      <c r="M272" t="s">
        <v>21</v>
      </c>
      <c r="N272" t="s">
        <v>22</v>
      </c>
    </row>
    <row r="273" spans="1:14" x14ac:dyDescent="0.25">
      <c r="A273" s="2">
        <v>45572</v>
      </c>
      <c r="B273">
        <f>YEAR(DataClean[[#This Row],[Tanggal]])</f>
        <v>2024</v>
      </c>
      <c r="C273" t="s">
        <v>820</v>
      </c>
      <c r="D273" t="s">
        <v>113</v>
      </c>
      <c r="E273" t="s">
        <v>43</v>
      </c>
      <c r="F273" t="s">
        <v>821</v>
      </c>
      <c r="G273" s="11">
        <v>1</v>
      </c>
      <c r="H273" s="16">
        <v>200000</v>
      </c>
      <c r="I273" s="16">
        <f>DataClean[Harga_Satuan]*0.6</f>
        <v>120000</v>
      </c>
      <c r="J273" s="16">
        <f>DataClean[Harga_Satuan]-DataClean[Modal]</f>
        <v>80000</v>
      </c>
      <c r="K273" s="16">
        <f>DataClean[[#This Row],[Qty]]*DataClean[[#This Row],[Harga_Satuan]]</f>
        <v>200000</v>
      </c>
      <c r="L273" s="16">
        <f>DataClean[Total_Penjualan]-DataClean[Modal]</f>
        <v>80000</v>
      </c>
      <c r="M273" t="s">
        <v>53</v>
      </c>
      <c r="N273" t="s">
        <v>15</v>
      </c>
    </row>
    <row r="274" spans="1:14" x14ac:dyDescent="0.25">
      <c r="A274" s="2">
        <v>45187</v>
      </c>
      <c r="B274">
        <f>YEAR(DataClean[[#This Row],[Tanggal]])</f>
        <v>2023</v>
      </c>
      <c r="C274" t="s">
        <v>822</v>
      </c>
      <c r="D274" t="s">
        <v>412</v>
      </c>
      <c r="E274" t="s">
        <v>48</v>
      </c>
      <c r="F274" t="s">
        <v>823</v>
      </c>
      <c r="G274" s="11">
        <v>1</v>
      </c>
      <c r="H274" s="16">
        <v>220000</v>
      </c>
      <c r="I274" s="16">
        <f>DataClean[Harga_Satuan]*0.6</f>
        <v>132000</v>
      </c>
      <c r="J274" s="16">
        <f>DataClean[Harga_Satuan]-DataClean[Modal]</f>
        <v>88000</v>
      </c>
      <c r="K274" s="16">
        <f>DataClean[[#This Row],[Qty]]*DataClean[[#This Row],[Harga_Satuan]]</f>
        <v>220000</v>
      </c>
      <c r="L274" s="16">
        <f>DataClean[Total_Penjualan]-DataClean[Modal]</f>
        <v>88000</v>
      </c>
      <c r="M274" t="s">
        <v>28</v>
      </c>
      <c r="N274" t="s">
        <v>29</v>
      </c>
    </row>
    <row r="275" spans="1:14" x14ac:dyDescent="0.25">
      <c r="A275" s="2">
        <v>45146</v>
      </c>
      <c r="B275">
        <f>YEAR(DataClean[[#This Row],[Tanggal]])</f>
        <v>2023</v>
      </c>
      <c r="C275" t="s">
        <v>824</v>
      </c>
      <c r="D275" t="s">
        <v>718</v>
      </c>
      <c r="E275" t="s">
        <v>12</v>
      </c>
      <c r="F275" t="s">
        <v>825</v>
      </c>
      <c r="G275" s="11">
        <v>20</v>
      </c>
      <c r="H275" s="16">
        <v>3000</v>
      </c>
      <c r="I275" s="16">
        <f>DataClean[Harga_Satuan]*0.6</f>
        <v>1800</v>
      </c>
      <c r="J275" s="16">
        <f>DataClean[Harga_Satuan]-DataClean[Modal]</f>
        <v>1200</v>
      </c>
      <c r="K275" s="16">
        <f>DataClean[[#This Row],[Qty]]*DataClean[[#This Row],[Harga_Satuan]]</f>
        <v>60000</v>
      </c>
      <c r="L275" s="16">
        <f>DataClean[Total_Penjualan]-DataClean[Modal]</f>
        <v>58200</v>
      </c>
      <c r="M275" t="s">
        <v>39</v>
      </c>
      <c r="N275" t="s">
        <v>15</v>
      </c>
    </row>
    <row r="276" spans="1:14" x14ac:dyDescent="0.25">
      <c r="A276" s="2">
        <v>45887</v>
      </c>
      <c r="B276">
        <f>YEAR(DataClean[[#This Row],[Tanggal]])</f>
        <v>2025</v>
      </c>
      <c r="C276" t="s">
        <v>826</v>
      </c>
      <c r="D276" t="s">
        <v>198</v>
      </c>
      <c r="E276" t="s">
        <v>19</v>
      </c>
      <c r="F276" t="s">
        <v>827</v>
      </c>
      <c r="G276" s="11">
        <v>4</v>
      </c>
      <c r="H276" s="16">
        <v>38000</v>
      </c>
      <c r="I276" s="16">
        <f>DataClean[Harga_Satuan]*0.6</f>
        <v>22800</v>
      </c>
      <c r="J276" s="16">
        <f>DataClean[Harga_Satuan]-DataClean[Modal]</f>
        <v>15200</v>
      </c>
      <c r="K276" s="16">
        <f>DataClean[[#This Row],[Qty]]*DataClean[[#This Row],[Harga_Satuan]]</f>
        <v>152000</v>
      </c>
      <c r="L276" s="16">
        <f>DataClean[Total_Penjualan]-DataClean[Modal]</f>
        <v>129200</v>
      </c>
      <c r="M276" t="s">
        <v>93</v>
      </c>
      <c r="N276" t="s">
        <v>22</v>
      </c>
    </row>
    <row r="277" spans="1:14" x14ac:dyDescent="0.25">
      <c r="A277" s="2">
        <v>45985</v>
      </c>
      <c r="B277">
        <f>YEAR(DataClean[[#This Row],[Tanggal]])</f>
        <v>2025</v>
      </c>
      <c r="C277" t="s">
        <v>828</v>
      </c>
      <c r="D277" t="s">
        <v>570</v>
      </c>
      <c r="E277" t="s">
        <v>26</v>
      </c>
      <c r="F277" t="s">
        <v>829</v>
      </c>
      <c r="G277" s="11">
        <v>1</v>
      </c>
      <c r="H277" s="16">
        <v>60000</v>
      </c>
      <c r="I277" s="16">
        <f>DataClean[Harga_Satuan]*0.6</f>
        <v>36000</v>
      </c>
      <c r="J277" s="16">
        <f>DataClean[Harga_Satuan]-DataClean[Modal]</f>
        <v>24000</v>
      </c>
      <c r="K277" s="16">
        <f>DataClean[[#This Row],[Qty]]*DataClean[[#This Row],[Harga_Satuan]]</f>
        <v>60000</v>
      </c>
      <c r="L277" s="16">
        <f>DataClean[Total_Penjualan]-DataClean[Modal]</f>
        <v>24000</v>
      </c>
      <c r="M277" t="s">
        <v>45</v>
      </c>
      <c r="N277" t="s">
        <v>29</v>
      </c>
    </row>
    <row r="278" spans="1:14" x14ac:dyDescent="0.25">
      <c r="A278" s="2">
        <v>44997</v>
      </c>
      <c r="B278">
        <f>YEAR(DataClean[[#This Row],[Tanggal]])</f>
        <v>2023</v>
      </c>
      <c r="C278" t="s">
        <v>830</v>
      </c>
      <c r="D278" t="s">
        <v>321</v>
      </c>
      <c r="E278" t="s">
        <v>33</v>
      </c>
      <c r="F278" t="s">
        <v>831</v>
      </c>
      <c r="G278" s="11">
        <v>3</v>
      </c>
      <c r="H278" s="16">
        <v>45000</v>
      </c>
      <c r="I278" s="16">
        <f>DataClean[Harga_Satuan]*0.6</f>
        <v>27000</v>
      </c>
      <c r="J278" s="16">
        <f>DataClean[Harga_Satuan]-DataClean[Modal]</f>
        <v>18000</v>
      </c>
      <c r="K278" s="16">
        <f>DataClean[[#This Row],[Qty]]*DataClean[[#This Row],[Harga_Satuan]]</f>
        <v>135000</v>
      </c>
      <c r="L278" s="16">
        <f>DataClean[Total_Penjualan]-DataClean[Modal]</f>
        <v>108000</v>
      </c>
      <c r="M278" t="s">
        <v>71</v>
      </c>
      <c r="N278" t="s">
        <v>15</v>
      </c>
    </row>
    <row r="279" spans="1:14" x14ac:dyDescent="0.25">
      <c r="A279" s="2">
        <v>44984</v>
      </c>
      <c r="B279">
        <f>YEAR(DataClean[[#This Row],[Tanggal]])</f>
        <v>2023</v>
      </c>
      <c r="C279" t="s">
        <v>832</v>
      </c>
      <c r="D279" t="s">
        <v>214</v>
      </c>
      <c r="E279" t="s">
        <v>12</v>
      </c>
      <c r="F279" t="s">
        <v>833</v>
      </c>
      <c r="G279" s="11">
        <v>6</v>
      </c>
      <c r="H279" s="16">
        <v>15000</v>
      </c>
      <c r="I279" s="16">
        <f>DataClean[Harga_Satuan]*0.6</f>
        <v>9000</v>
      </c>
      <c r="J279" s="16">
        <f>DataClean[Harga_Satuan]-DataClean[Modal]</f>
        <v>6000</v>
      </c>
      <c r="K279" s="16">
        <f>DataClean[[#This Row],[Qty]]*DataClean[[#This Row],[Harga_Satuan]]</f>
        <v>90000</v>
      </c>
      <c r="L279" s="16">
        <f>DataClean[Total_Penjualan]-DataClean[Modal]</f>
        <v>81000</v>
      </c>
      <c r="M279" t="s">
        <v>67</v>
      </c>
      <c r="N279" t="s">
        <v>22</v>
      </c>
    </row>
    <row r="280" spans="1:14" x14ac:dyDescent="0.25">
      <c r="A280" s="2">
        <v>45701</v>
      </c>
      <c r="B280">
        <f>YEAR(DataClean[[#This Row],[Tanggal]])</f>
        <v>2025</v>
      </c>
      <c r="C280" t="s">
        <v>834</v>
      </c>
      <c r="D280" t="s">
        <v>502</v>
      </c>
      <c r="E280" t="s">
        <v>43</v>
      </c>
      <c r="F280" t="s">
        <v>835</v>
      </c>
      <c r="G280" s="11">
        <v>5</v>
      </c>
      <c r="H280" s="16">
        <v>60000</v>
      </c>
      <c r="I280" s="16">
        <f>DataClean[Harga_Satuan]*0.6</f>
        <v>36000</v>
      </c>
      <c r="J280" s="16">
        <f>DataClean[Harga_Satuan]-DataClean[Modal]</f>
        <v>24000</v>
      </c>
      <c r="K280" s="16">
        <f>DataClean[[#This Row],[Qty]]*DataClean[[#This Row],[Harga_Satuan]]</f>
        <v>300000</v>
      </c>
      <c r="L280" s="16">
        <f>DataClean[Total_Penjualan]-DataClean[Modal]</f>
        <v>264000</v>
      </c>
      <c r="M280" t="s">
        <v>21</v>
      </c>
      <c r="N280" t="s">
        <v>15</v>
      </c>
    </row>
    <row r="281" spans="1:14" x14ac:dyDescent="0.25">
      <c r="A281" s="2">
        <v>45142</v>
      </c>
      <c r="B281">
        <f>YEAR(DataClean[[#This Row],[Tanggal]])</f>
        <v>2023</v>
      </c>
      <c r="C281" t="s">
        <v>836</v>
      </c>
      <c r="D281" t="s">
        <v>222</v>
      </c>
      <c r="E281" t="s">
        <v>48</v>
      </c>
      <c r="F281" t="s">
        <v>837</v>
      </c>
      <c r="G281" s="11">
        <v>10</v>
      </c>
      <c r="H281" s="16">
        <v>35000</v>
      </c>
      <c r="I281" s="16">
        <f>DataClean[Harga_Satuan]*0.6</f>
        <v>21000</v>
      </c>
      <c r="J281" s="16">
        <f>DataClean[Harga_Satuan]-DataClean[Modal]</f>
        <v>14000</v>
      </c>
      <c r="K281" s="16">
        <f>DataClean[[#This Row],[Qty]]*DataClean[[#This Row],[Harga_Satuan]]</f>
        <v>350000</v>
      </c>
      <c r="L281" s="16">
        <f>DataClean[Total_Penjualan]-DataClean[Modal]</f>
        <v>329000</v>
      </c>
      <c r="M281" t="s">
        <v>53</v>
      </c>
      <c r="N281" t="s">
        <v>29</v>
      </c>
    </row>
    <row r="282" spans="1:14" x14ac:dyDescent="0.25">
      <c r="A282" s="2">
        <v>45138</v>
      </c>
      <c r="B282">
        <f>YEAR(DataClean[[#This Row],[Tanggal]])</f>
        <v>2023</v>
      </c>
      <c r="C282" t="s">
        <v>838</v>
      </c>
      <c r="D282" t="s">
        <v>57</v>
      </c>
      <c r="E282" t="s">
        <v>12</v>
      </c>
      <c r="F282" t="s">
        <v>839</v>
      </c>
      <c r="G282" s="11">
        <v>2</v>
      </c>
      <c r="H282" s="16">
        <v>18000</v>
      </c>
      <c r="I282" s="16">
        <f>DataClean[Harga_Satuan]*0.6</f>
        <v>10800</v>
      </c>
      <c r="J282" s="16">
        <f>DataClean[Harga_Satuan]-DataClean[Modal]</f>
        <v>7200</v>
      </c>
      <c r="K282" s="16">
        <f>DataClean[[#This Row],[Qty]]*DataClean[[#This Row],[Harga_Satuan]]</f>
        <v>36000</v>
      </c>
      <c r="L282" s="16">
        <f>DataClean[Total_Penjualan]-DataClean[Modal]</f>
        <v>25200</v>
      </c>
      <c r="M282" t="s">
        <v>28</v>
      </c>
      <c r="N282" t="s">
        <v>15</v>
      </c>
    </row>
    <row r="283" spans="1:14" x14ac:dyDescent="0.25">
      <c r="A283" s="2">
        <v>45031</v>
      </c>
      <c r="B283">
        <f>YEAR(DataClean[[#This Row],[Tanggal]])</f>
        <v>2023</v>
      </c>
      <c r="C283" t="s">
        <v>840</v>
      </c>
      <c r="D283" t="s">
        <v>135</v>
      </c>
      <c r="E283" t="s">
        <v>19</v>
      </c>
      <c r="F283" t="s">
        <v>841</v>
      </c>
      <c r="G283" s="11">
        <v>1</v>
      </c>
      <c r="H283" s="16">
        <v>40000</v>
      </c>
      <c r="I283" s="16">
        <f>DataClean[Harga_Satuan]*0.6</f>
        <v>24000</v>
      </c>
      <c r="J283" s="16">
        <f>DataClean[Harga_Satuan]-DataClean[Modal]</f>
        <v>16000</v>
      </c>
      <c r="K283" s="16">
        <f>DataClean[[#This Row],[Qty]]*DataClean[[#This Row],[Harga_Satuan]]</f>
        <v>40000</v>
      </c>
      <c r="L283" s="16">
        <f>DataClean[Total_Penjualan]-DataClean[Modal]</f>
        <v>16000</v>
      </c>
      <c r="M283" t="s">
        <v>59</v>
      </c>
      <c r="N283" t="s">
        <v>22</v>
      </c>
    </row>
    <row r="284" spans="1:14" x14ac:dyDescent="0.25">
      <c r="A284" s="2">
        <v>44968</v>
      </c>
      <c r="B284">
        <f>YEAR(DataClean[[#This Row],[Tanggal]])</f>
        <v>2023</v>
      </c>
      <c r="C284" t="s">
        <v>842</v>
      </c>
      <c r="D284" t="s">
        <v>206</v>
      </c>
      <c r="E284" t="s">
        <v>26</v>
      </c>
      <c r="F284" t="s">
        <v>843</v>
      </c>
      <c r="G284" s="11">
        <v>8</v>
      </c>
      <c r="H284" s="16">
        <v>15000</v>
      </c>
      <c r="I284" s="16">
        <f>DataClean[Harga_Satuan]*0.6</f>
        <v>9000</v>
      </c>
      <c r="J284" s="16">
        <f>DataClean[Harga_Satuan]-DataClean[Modal]</f>
        <v>6000</v>
      </c>
      <c r="K284" s="16">
        <f>DataClean[[#This Row],[Qty]]*DataClean[[#This Row],[Harga_Satuan]]</f>
        <v>120000</v>
      </c>
      <c r="L284" s="16">
        <f>DataClean[Total_Penjualan]-DataClean[Modal]</f>
        <v>111000</v>
      </c>
      <c r="M284" t="s">
        <v>14</v>
      </c>
      <c r="N284" t="s">
        <v>29</v>
      </c>
    </row>
    <row r="285" spans="1:14" x14ac:dyDescent="0.25">
      <c r="A285" s="2">
        <v>45458</v>
      </c>
      <c r="B285">
        <f>YEAR(DataClean[[#This Row],[Tanggal]])</f>
        <v>2024</v>
      </c>
      <c r="C285" t="s">
        <v>844</v>
      </c>
      <c r="D285" t="s">
        <v>159</v>
      </c>
      <c r="E285" t="s">
        <v>33</v>
      </c>
      <c r="F285" t="s">
        <v>845</v>
      </c>
      <c r="G285" s="11">
        <v>6</v>
      </c>
      <c r="H285" s="16">
        <v>28000</v>
      </c>
      <c r="I285" s="16">
        <f>DataClean[Harga_Satuan]*0.6</f>
        <v>16800</v>
      </c>
      <c r="J285" s="16">
        <f>DataClean[Harga_Satuan]-DataClean[Modal]</f>
        <v>11200</v>
      </c>
      <c r="K285" s="16">
        <f>DataClean[[#This Row],[Qty]]*DataClean[[#This Row],[Harga_Satuan]]</f>
        <v>168000</v>
      </c>
      <c r="L285" s="16">
        <f>DataClean[Total_Penjualan]-DataClean[Modal]</f>
        <v>151200</v>
      </c>
      <c r="M285" t="s">
        <v>45</v>
      </c>
      <c r="N285" t="s">
        <v>15</v>
      </c>
    </row>
    <row r="286" spans="1:14" x14ac:dyDescent="0.25">
      <c r="A286" s="2">
        <v>45616</v>
      </c>
      <c r="B286">
        <f>YEAR(DataClean[[#This Row],[Tanggal]])</f>
        <v>2024</v>
      </c>
      <c r="C286" t="s">
        <v>846</v>
      </c>
      <c r="D286" t="s">
        <v>625</v>
      </c>
      <c r="E286" t="s">
        <v>12</v>
      </c>
      <c r="F286" t="s">
        <v>847</v>
      </c>
      <c r="G286" s="11">
        <v>3</v>
      </c>
      <c r="H286" s="16">
        <v>25000</v>
      </c>
      <c r="I286" s="16">
        <f>DataClean[Harga_Satuan]*0.6</f>
        <v>15000</v>
      </c>
      <c r="J286" s="16">
        <f>DataClean[Harga_Satuan]-DataClean[Modal]</f>
        <v>10000</v>
      </c>
      <c r="K286" s="16">
        <f>DataClean[[#This Row],[Qty]]*DataClean[[#This Row],[Harga_Satuan]]</f>
        <v>75000</v>
      </c>
      <c r="L286" s="16">
        <f>DataClean[Total_Penjualan]-DataClean[Modal]</f>
        <v>60000</v>
      </c>
      <c r="M286" t="s">
        <v>71</v>
      </c>
      <c r="N286" t="s">
        <v>22</v>
      </c>
    </row>
    <row r="287" spans="1:14" x14ac:dyDescent="0.25">
      <c r="A287" s="2">
        <v>45617</v>
      </c>
      <c r="B287">
        <f>YEAR(DataClean[[#This Row],[Tanggal]])</f>
        <v>2024</v>
      </c>
      <c r="C287" t="s">
        <v>848</v>
      </c>
      <c r="D287" t="s">
        <v>245</v>
      </c>
      <c r="E287" t="s">
        <v>43</v>
      </c>
      <c r="F287" t="s">
        <v>849</v>
      </c>
      <c r="G287" s="11">
        <v>2</v>
      </c>
      <c r="H287" s="16">
        <v>140000</v>
      </c>
      <c r="I287" s="16">
        <f>DataClean[Harga_Satuan]*0.6</f>
        <v>84000</v>
      </c>
      <c r="J287" s="16">
        <f>DataClean[Harga_Satuan]-DataClean[Modal]</f>
        <v>56000</v>
      </c>
      <c r="K287" s="16">
        <f>DataClean[[#This Row],[Qty]]*DataClean[[#This Row],[Harga_Satuan]]</f>
        <v>280000</v>
      </c>
      <c r="L287" s="16">
        <f>DataClean[Total_Penjualan]-DataClean[Modal]</f>
        <v>196000</v>
      </c>
      <c r="M287" t="s">
        <v>67</v>
      </c>
      <c r="N287" t="s">
        <v>15</v>
      </c>
    </row>
    <row r="288" spans="1:14" x14ac:dyDescent="0.25">
      <c r="A288" s="2">
        <v>45186</v>
      </c>
      <c r="B288">
        <f>YEAR(DataClean[[#This Row],[Tanggal]])</f>
        <v>2023</v>
      </c>
      <c r="C288" t="s">
        <v>850</v>
      </c>
      <c r="D288" t="s">
        <v>297</v>
      </c>
      <c r="E288" t="s">
        <v>48</v>
      </c>
      <c r="F288" t="s">
        <v>851</v>
      </c>
      <c r="G288" s="11">
        <v>15</v>
      </c>
      <c r="H288" s="16">
        <v>8000</v>
      </c>
      <c r="I288" s="16">
        <f>DataClean[Harga_Satuan]*0.6</f>
        <v>4800</v>
      </c>
      <c r="J288" s="16">
        <f>DataClean[Harga_Satuan]-DataClean[Modal]</f>
        <v>3200</v>
      </c>
      <c r="K288" s="16">
        <f>DataClean[[#This Row],[Qty]]*DataClean[[#This Row],[Harga_Satuan]]</f>
        <v>120000</v>
      </c>
      <c r="L288" s="16">
        <f>DataClean[Total_Penjualan]-DataClean[Modal]</f>
        <v>115200</v>
      </c>
      <c r="M288" t="s">
        <v>21</v>
      </c>
      <c r="N288" t="s">
        <v>29</v>
      </c>
    </row>
    <row r="289" spans="1:17" x14ac:dyDescent="0.25">
      <c r="A289" s="2">
        <v>45594</v>
      </c>
      <c r="B289">
        <f>YEAR(DataClean[[#This Row],[Tanggal]])</f>
        <v>2024</v>
      </c>
      <c r="C289" t="s">
        <v>852</v>
      </c>
      <c r="D289" t="s">
        <v>226</v>
      </c>
      <c r="E289" t="s">
        <v>12</v>
      </c>
      <c r="F289" t="s">
        <v>853</v>
      </c>
      <c r="G289" s="11">
        <v>10</v>
      </c>
      <c r="H289" s="16">
        <v>6000</v>
      </c>
      <c r="I289" s="16">
        <f>DataClean[Harga_Satuan]*0.6</f>
        <v>3600</v>
      </c>
      <c r="J289" s="16">
        <f>DataClean[Harga_Satuan]-DataClean[Modal]</f>
        <v>2400</v>
      </c>
      <c r="K289" s="16">
        <f>DataClean[[#This Row],[Qty]]*DataClean[[#This Row],[Harga_Satuan]]</f>
        <v>60000</v>
      </c>
      <c r="L289" s="16">
        <f>DataClean[Total_Penjualan]-DataClean[Modal]</f>
        <v>56400</v>
      </c>
      <c r="M289" t="s">
        <v>53</v>
      </c>
      <c r="N289" t="s">
        <v>15</v>
      </c>
    </row>
    <row r="290" spans="1:17" x14ac:dyDescent="0.25">
      <c r="A290" s="2">
        <v>45441</v>
      </c>
      <c r="B290">
        <f>YEAR(DataClean[[#This Row],[Tanggal]])</f>
        <v>2024</v>
      </c>
      <c r="C290" t="s">
        <v>854</v>
      </c>
      <c r="D290" t="s">
        <v>123</v>
      </c>
      <c r="E290" t="s">
        <v>19</v>
      </c>
      <c r="F290" t="s">
        <v>855</v>
      </c>
      <c r="G290" s="11">
        <v>1</v>
      </c>
      <c r="H290" s="16">
        <v>35000</v>
      </c>
      <c r="I290" s="16">
        <f>DataClean[Harga_Satuan]*0.6</f>
        <v>21000</v>
      </c>
      <c r="J290" s="16">
        <f>DataClean[Harga_Satuan]-DataClean[Modal]</f>
        <v>14000</v>
      </c>
      <c r="K290" s="16">
        <f>DataClean[[#This Row],[Qty]]*DataClean[[#This Row],[Harga_Satuan]]</f>
        <v>35000</v>
      </c>
      <c r="L290" s="16">
        <f>DataClean[Total_Penjualan]-DataClean[Modal]</f>
        <v>14000</v>
      </c>
      <c r="M290" t="s">
        <v>28</v>
      </c>
      <c r="N290" t="s">
        <v>22</v>
      </c>
    </row>
    <row r="291" spans="1:17" x14ac:dyDescent="0.25">
      <c r="A291" s="2">
        <v>45210</v>
      </c>
      <c r="B291">
        <f>YEAR(DataClean[[#This Row],[Tanggal]])</f>
        <v>2023</v>
      </c>
      <c r="C291" t="s">
        <v>856</v>
      </c>
      <c r="D291" t="s">
        <v>333</v>
      </c>
      <c r="E291" t="s">
        <v>26</v>
      </c>
      <c r="F291" t="s">
        <v>857</v>
      </c>
      <c r="G291" s="11">
        <v>10</v>
      </c>
      <c r="H291" s="16">
        <v>10000</v>
      </c>
      <c r="I291" s="16">
        <f>DataClean[Harga_Satuan]*0.6</f>
        <v>6000</v>
      </c>
      <c r="J291" s="16">
        <f>DataClean[Harga_Satuan]-DataClean[Modal]</f>
        <v>4000</v>
      </c>
      <c r="K291" s="16">
        <f>DataClean[[#This Row],[Qty]]*DataClean[[#This Row],[Harga_Satuan]]</f>
        <v>100000</v>
      </c>
      <c r="L291" s="16">
        <f>DataClean[Total_Penjualan]-DataClean[Modal]</f>
        <v>94000</v>
      </c>
      <c r="M291" t="s">
        <v>39</v>
      </c>
      <c r="N291" t="s">
        <v>29</v>
      </c>
    </row>
    <row r="292" spans="1:17" x14ac:dyDescent="0.25">
      <c r="A292" s="2">
        <v>45390</v>
      </c>
      <c r="B292">
        <f>YEAR(DataClean[[#This Row],[Tanggal]])</f>
        <v>2024</v>
      </c>
      <c r="C292" t="s">
        <v>858</v>
      </c>
      <c r="D292" t="s">
        <v>107</v>
      </c>
      <c r="E292" t="s">
        <v>33</v>
      </c>
      <c r="F292" t="s">
        <v>859</v>
      </c>
      <c r="G292" s="11">
        <v>4</v>
      </c>
      <c r="H292" s="16">
        <v>50000</v>
      </c>
      <c r="I292" s="16">
        <f>DataClean[Harga_Satuan]*0.6</f>
        <v>30000</v>
      </c>
      <c r="J292" s="16">
        <f>DataClean[Harga_Satuan]-DataClean[Modal]</f>
        <v>20000</v>
      </c>
      <c r="K292" s="16">
        <f>DataClean[[#This Row],[Qty]]*DataClean[[#This Row],[Harga_Satuan]]</f>
        <v>200000</v>
      </c>
      <c r="L292" s="16">
        <f>DataClean[Total_Penjualan]-DataClean[Modal]</f>
        <v>170000</v>
      </c>
      <c r="M292" t="s">
        <v>93</v>
      </c>
      <c r="N292" t="s">
        <v>15</v>
      </c>
    </row>
    <row r="293" spans="1:17" x14ac:dyDescent="0.25">
      <c r="A293" s="2">
        <v>45045</v>
      </c>
      <c r="B293">
        <f>YEAR(DataClean[[#This Row],[Tanggal]])</f>
        <v>2023</v>
      </c>
      <c r="C293" t="s">
        <v>860</v>
      </c>
      <c r="D293" t="s">
        <v>290</v>
      </c>
      <c r="E293" t="s">
        <v>12</v>
      </c>
      <c r="F293" t="s">
        <v>861</v>
      </c>
      <c r="G293" s="11">
        <v>5</v>
      </c>
      <c r="H293" s="16">
        <v>40000</v>
      </c>
      <c r="I293" s="16">
        <f>DataClean[Harga_Satuan]*0.6</f>
        <v>24000</v>
      </c>
      <c r="J293" s="16">
        <f>DataClean[Harga_Satuan]-DataClean[Modal]</f>
        <v>16000</v>
      </c>
      <c r="K293" s="16">
        <f>DataClean[[#This Row],[Qty]]*DataClean[[#This Row],[Harga_Satuan]]</f>
        <v>200000</v>
      </c>
      <c r="L293" s="16">
        <f>DataClean[Total_Penjualan]-DataClean[Modal]</f>
        <v>176000</v>
      </c>
      <c r="M293" t="s">
        <v>45</v>
      </c>
      <c r="N293" t="s">
        <v>22</v>
      </c>
    </row>
    <row r="294" spans="1:17" x14ac:dyDescent="0.25">
      <c r="A294" s="2">
        <v>45348</v>
      </c>
      <c r="B294">
        <f>YEAR(DataClean[[#This Row],[Tanggal]])</f>
        <v>2024</v>
      </c>
      <c r="C294" t="s">
        <v>862</v>
      </c>
      <c r="D294" t="s">
        <v>537</v>
      </c>
      <c r="E294" t="s">
        <v>43</v>
      </c>
      <c r="F294" t="s">
        <v>863</v>
      </c>
      <c r="G294" s="11">
        <v>3</v>
      </c>
      <c r="H294" s="16">
        <v>70000</v>
      </c>
      <c r="I294" s="16">
        <f>DataClean[Harga_Satuan]*0.6</f>
        <v>42000</v>
      </c>
      <c r="J294" s="16">
        <f>DataClean[Harga_Satuan]-DataClean[Modal]</f>
        <v>28000</v>
      </c>
      <c r="K294" s="16">
        <f>DataClean[[#This Row],[Qty]]*DataClean[[#This Row],[Harga_Satuan]]</f>
        <v>210000</v>
      </c>
      <c r="L294" s="16">
        <f>DataClean[Total_Penjualan]-DataClean[Modal]</f>
        <v>168000</v>
      </c>
      <c r="M294" t="s">
        <v>71</v>
      </c>
      <c r="N294" t="s">
        <v>15</v>
      </c>
    </row>
    <row r="295" spans="1:17" x14ac:dyDescent="0.25">
      <c r="A295" s="2">
        <v>45497</v>
      </c>
      <c r="B295">
        <f>YEAR(DataClean[[#This Row],[Tanggal]])</f>
        <v>2024</v>
      </c>
      <c r="C295" t="s">
        <v>864</v>
      </c>
      <c r="D295" t="s">
        <v>450</v>
      </c>
      <c r="E295" t="s">
        <v>48</v>
      </c>
      <c r="F295" t="s">
        <v>865</v>
      </c>
      <c r="G295" s="11">
        <v>1</v>
      </c>
      <c r="H295" s="16">
        <v>180000</v>
      </c>
      <c r="I295" s="16">
        <f>DataClean[Harga_Satuan]*0.6</f>
        <v>108000</v>
      </c>
      <c r="J295" s="16">
        <f>DataClean[Harga_Satuan]-DataClean[Modal]</f>
        <v>72000</v>
      </c>
      <c r="K295" s="16">
        <f>DataClean[[#This Row],[Qty]]*DataClean[[#This Row],[Harga_Satuan]]</f>
        <v>180000</v>
      </c>
      <c r="L295" s="16">
        <f>DataClean[Total_Penjualan]-DataClean[Modal]</f>
        <v>72000</v>
      </c>
      <c r="M295" t="s">
        <v>67</v>
      </c>
      <c r="N295" t="s">
        <v>29</v>
      </c>
    </row>
    <row r="296" spans="1:17" x14ac:dyDescent="0.25">
      <c r="A296" s="2">
        <v>45766</v>
      </c>
      <c r="B296">
        <f>YEAR(DataClean[[#This Row],[Tanggal]])</f>
        <v>2025</v>
      </c>
      <c r="C296" t="s">
        <v>866</v>
      </c>
      <c r="D296" t="s">
        <v>65</v>
      </c>
      <c r="E296" t="s">
        <v>12</v>
      </c>
      <c r="F296" t="s">
        <v>867</v>
      </c>
      <c r="G296" s="11">
        <v>6</v>
      </c>
      <c r="H296" s="16">
        <v>28000</v>
      </c>
      <c r="I296" s="16">
        <f>DataClean[Harga_Satuan]*0.6</f>
        <v>16800</v>
      </c>
      <c r="J296" s="16">
        <f>DataClean[Harga_Satuan]-DataClean[Modal]</f>
        <v>11200</v>
      </c>
      <c r="K296" s="16">
        <f>DataClean[[#This Row],[Qty]]*DataClean[[#This Row],[Harga_Satuan]]</f>
        <v>168000</v>
      </c>
      <c r="L296" s="16">
        <f>DataClean[Total_Penjualan]-DataClean[Modal]</f>
        <v>151200</v>
      </c>
      <c r="M296" t="s">
        <v>21</v>
      </c>
      <c r="N296" t="s">
        <v>15</v>
      </c>
    </row>
    <row r="297" spans="1:17" x14ac:dyDescent="0.25">
      <c r="A297" s="2">
        <v>45651</v>
      </c>
      <c r="B297">
        <f>YEAR(DataClean[[#This Row],[Tanggal]])</f>
        <v>2024</v>
      </c>
      <c r="C297" t="s">
        <v>868</v>
      </c>
      <c r="D297" t="s">
        <v>243</v>
      </c>
      <c r="E297" t="s">
        <v>19</v>
      </c>
      <c r="F297" t="s">
        <v>869</v>
      </c>
      <c r="G297" s="11">
        <v>8</v>
      </c>
      <c r="H297" s="16">
        <v>12000</v>
      </c>
      <c r="I297" s="16">
        <f>DataClean[Harga_Satuan]*0.6</f>
        <v>7200</v>
      </c>
      <c r="J297" s="16">
        <f>DataClean[Harga_Satuan]-DataClean[Modal]</f>
        <v>4800</v>
      </c>
      <c r="K297" s="16">
        <f>DataClean[[#This Row],[Qty]]*DataClean[[#This Row],[Harga_Satuan]]</f>
        <v>96000</v>
      </c>
      <c r="L297" s="16">
        <f>DataClean[Total_Penjualan]-DataClean[Modal]</f>
        <v>88800</v>
      </c>
      <c r="M297" t="s">
        <v>53</v>
      </c>
      <c r="N297" t="s">
        <v>22</v>
      </c>
    </row>
    <row r="298" spans="1:17" x14ac:dyDescent="0.25">
      <c r="A298" s="2">
        <v>45589</v>
      </c>
      <c r="B298">
        <f>YEAR(DataClean[[#This Row],[Tanggal]])</f>
        <v>2024</v>
      </c>
      <c r="C298" t="s">
        <v>870</v>
      </c>
      <c r="D298" t="s">
        <v>549</v>
      </c>
      <c r="E298" t="s">
        <v>26</v>
      </c>
      <c r="F298" t="s">
        <v>871</v>
      </c>
      <c r="G298" s="11">
        <v>1</v>
      </c>
      <c r="H298" s="16">
        <v>150000</v>
      </c>
      <c r="I298" s="16">
        <f>DataClean[Harga_Satuan]*0.6</f>
        <v>90000</v>
      </c>
      <c r="J298" s="16">
        <f>DataClean[Harga_Satuan]-DataClean[Modal]</f>
        <v>60000</v>
      </c>
      <c r="K298" s="16">
        <f>DataClean[[#This Row],[Qty]]*DataClean[[#This Row],[Harga_Satuan]]</f>
        <v>150000</v>
      </c>
      <c r="L298" s="16">
        <f>DataClean[Total_Penjualan]-DataClean[Modal]</f>
        <v>60000</v>
      </c>
      <c r="M298" t="s">
        <v>28</v>
      </c>
      <c r="N298" t="s">
        <v>29</v>
      </c>
    </row>
    <row r="299" spans="1:17" x14ac:dyDescent="0.25">
      <c r="A299" s="2">
        <v>45752</v>
      </c>
      <c r="B299">
        <f>YEAR(DataClean[[#This Row],[Tanggal]])</f>
        <v>2025</v>
      </c>
      <c r="C299" t="s">
        <v>872</v>
      </c>
      <c r="D299" t="s">
        <v>86</v>
      </c>
      <c r="E299" t="s">
        <v>33</v>
      </c>
      <c r="F299" t="s">
        <v>873</v>
      </c>
      <c r="G299" s="11">
        <v>2</v>
      </c>
      <c r="H299" s="16">
        <v>80000</v>
      </c>
      <c r="I299" s="16">
        <f>DataClean[Harga_Satuan]*0.6</f>
        <v>48000</v>
      </c>
      <c r="J299" s="16">
        <f>DataClean[Harga_Satuan]-DataClean[Modal]</f>
        <v>32000</v>
      </c>
      <c r="K299" s="16">
        <f>DataClean[[#This Row],[Qty]]*DataClean[[#This Row],[Harga_Satuan]]</f>
        <v>160000</v>
      </c>
      <c r="L299" s="16">
        <f>DataClean[Total_Penjualan]-DataClean[Modal]</f>
        <v>112000</v>
      </c>
      <c r="M299" t="s">
        <v>59</v>
      </c>
      <c r="N299" t="s">
        <v>15</v>
      </c>
    </row>
    <row r="300" spans="1:17" x14ac:dyDescent="0.25">
      <c r="A300" s="2">
        <v>45537</v>
      </c>
      <c r="B300">
        <f>YEAR(DataClean[[#This Row],[Tanggal]])</f>
        <v>2024</v>
      </c>
      <c r="C300" t="s">
        <v>874</v>
      </c>
      <c r="D300" t="s">
        <v>121</v>
      </c>
      <c r="E300" t="s">
        <v>12</v>
      </c>
      <c r="F300" t="s">
        <v>875</v>
      </c>
      <c r="G300" s="11">
        <v>10</v>
      </c>
      <c r="H300" s="16">
        <v>20000</v>
      </c>
      <c r="I300" s="16">
        <f>DataClean[Harga_Satuan]*0.6</f>
        <v>12000</v>
      </c>
      <c r="J300" s="16">
        <f>DataClean[Harga_Satuan]-DataClean[Modal]</f>
        <v>8000</v>
      </c>
      <c r="K300" s="16">
        <f>DataClean[[#This Row],[Qty]]*DataClean[[#This Row],[Harga_Satuan]]</f>
        <v>200000</v>
      </c>
      <c r="L300" s="16">
        <f>DataClean[Total_Penjualan]-DataClean[Modal]</f>
        <v>188000</v>
      </c>
      <c r="M300" t="s">
        <v>14</v>
      </c>
      <c r="N300" t="s">
        <v>22</v>
      </c>
    </row>
    <row r="301" spans="1:17" x14ac:dyDescent="0.25">
      <c r="A301" s="2">
        <v>45945</v>
      </c>
      <c r="B301">
        <f>YEAR(DataClean[[#This Row],[Tanggal]])</f>
        <v>2025</v>
      </c>
      <c r="C301" t="s">
        <v>876</v>
      </c>
      <c r="D301" t="s">
        <v>91</v>
      </c>
      <c r="E301" t="s">
        <v>43</v>
      </c>
      <c r="F301" t="s">
        <v>877</v>
      </c>
      <c r="G301" s="11">
        <v>5</v>
      </c>
      <c r="H301" s="16">
        <v>45000</v>
      </c>
      <c r="I301" s="16">
        <f>DataClean[Harga_Satuan]*0.6</f>
        <v>27000</v>
      </c>
      <c r="J301" s="16">
        <f>DataClean[Harga_Satuan]-DataClean[Modal]</f>
        <v>18000</v>
      </c>
      <c r="K301" s="16">
        <f>DataClean[[#This Row],[Qty]]*DataClean[[#This Row],[Harga_Satuan]]</f>
        <v>225000</v>
      </c>
      <c r="L301" s="16">
        <f>DataClean[Total_Penjualan]-DataClean[Modal]</f>
        <v>198000</v>
      </c>
      <c r="M301" t="s">
        <v>45</v>
      </c>
      <c r="N301" t="s">
        <v>15</v>
      </c>
    </row>
    <row r="302" spans="1:17" x14ac:dyDescent="0.25">
      <c r="Q302" s="23">
        <f t="shared" ref="Q302:Q365" ca="1" si="0">RANDBETWEEN(DATE(2023,1,1), DATE(2025,12,31))</f>
        <v>45963</v>
      </c>
    </row>
    <row r="303" spans="1:17" x14ac:dyDescent="0.25">
      <c r="I303" s="16">
        <f>SUM(J2:J301)</f>
        <v>9889400</v>
      </c>
      <c r="Q303" s="24">
        <f t="shared" ca="1" si="0"/>
        <v>45995</v>
      </c>
    </row>
    <row r="304" spans="1:17" x14ac:dyDescent="0.25">
      <c r="Q304" s="23">
        <f t="shared" ca="1" si="0"/>
        <v>45840</v>
      </c>
    </row>
    <row r="305" spans="17:17" x14ac:dyDescent="0.25">
      <c r="Q305" s="24">
        <f t="shared" ca="1" si="0"/>
        <v>45496</v>
      </c>
    </row>
    <row r="306" spans="17:17" x14ac:dyDescent="0.25">
      <c r="Q306" s="23">
        <f t="shared" ca="1" si="0"/>
        <v>45966</v>
      </c>
    </row>
    <row r="307" spans="17:17" x14ac:dyDescent="0.25">
      <c r="Q307" s="24">
        <f t="shared" ca="1" si="0"/>
        <v>45985</v>
      </c>
    </row>
    <row r="308" spans="17:17" x14ac:dyDescent="0.25">
      <c r="Q308" s="23">
        <f t="shared" ca="1" si="0"/>
        <v>45074</v>
      </c>
    </row>
    <row r="309" spans="17:17" x14ac:dyDescent="0.25">
      <c r="Q309" s="24">
        <f t="shared" ca="1" si="0"/>
        <v>45463</v>
      </c>
    </row>
    <row r="310" spans="17:17" x14ac:dyDescent="0.25">
      <c r="Q310" s="23">
        <f t="shared" ca="1" si="0"/>
        <v>45609</v>
      </c>
    </row>
    <row r="311" spans="17:17" x14ac:dyDescent="0.25">
      <c r="Q311" s="24">
        <f t="shared" ca="1" si="0"/>
        <v>45972</v>
      </c>
    </row>
    <row r="312" spans="17:17" x14ac:dyDescent="0.25">
      <c r="Q312" s="23">
        <f t="shared" ca="1" si="0"/>
        <v>45931</v>
      </c>
    </row>
    <row r="313" spans="17:17" x14ac:dyDescent="0.25">
      <c r="Q313" s="24">
        <f t="shared" ca="1" si="0"/>
        <v>45293</v>
      </c>
    </row>
    <row r="314" spans="17:17" x14ac:dyDescent="0.25">
      <c r="Q314" s="23">
        <f t="shared" ca="1" si="0"/>
        <v>45106</v>
      </c>
    </row>
    <row r="315" spans="17:17" x14ac:dyDescent="0.25">
      <c r="Q315" s="24">
        <f t="shared" ca="1" si="0"/>
        <v>45140</v>
      </c>
    </row>
    <row r="316" spans="17:17" x14ac:dyDescent="0.25">
      <c r="Q316" s="23">
        <f t="shared" ca="1" si="0"/>
        <v>45474</v>
      </c>
    </row>
    <row r="317" spans="17:17" x14ac:dyDescent="0.25">
      <c r="Q317" s="24">
        <f t="shared" ca="1" si="0"/>
        <v>45607</v>
      </c>
    </row>
    <row r="318" spans="17:17" x14ac:dyDescent="0.25">
      <c r="Q318" s="23">
        <f t="shared" ca="1" si="0"/>
        <v>45309</v>
      </c>
    </row>
    <row r="319" spans="17:17" x14ac:dyDescent="0.25">
      <c r="Q319" s="24">
        <f t="shared" ca="1" si="0"/>
        <v>45112</v>
      </c>
    </row>
    <row r="320" spans="17:17" x14ac:dyDescent="0.25">
      <c r="Q320" s="23">
        <f t="shared" ca="1" si="0"/>
        <v>45294</v>
      </c>
    </row>
    <row r="321" spans="17:17" x14ac:dyDescent="0.25">
      <c r="Q321" s="24">
        <f t="shared" ca="1" si="0"/>
        <v>45361</v>
      </c>
    </row>
    <row r="322" spans="17:17" x14ac:dyDescent="0.25">
      <c r="Q322" s="23">
        <f t="shared" ca="1" si="0"/>
        <v>45049</v>
      </c>
    </row>
    <row r="323" spans="17:17" x14ac:dyDescent="0.25">
      <c r="Q323" s="24">
        <f t="shared" ca="1" si="0"/>
        <v>45597</v>
      </c>
    </row>
    <row r="324" spans="17:17" x14ac:dyDescent="0.25">
      <c r="Q324" s="23">
        <f t="shared" ca="1" si="0"/>
        <v>45998</v>
      </c>
    </row>
    <row r="325" spans="17:17" x14ac:dyDescent="0.25">
      <c r="Q325" s="24">
        <f t="shared" ca="1" si="0"/>
        <v>45912</v>
      </c>
    </row>
    <row r="326" spans="17:17" x14ac:dyDescent="0.25">
      <c r="Q326" s="23">
        <f t="shared" ca="1" si="0"/>
        <v>45048</v>
      </c>
    </row>
    <row r="327" spans="17:17" x14ac:dyDescent="0.25">
      <c r="Q327" s="24">
        <f t="shared" ca="1" si="0"/>
        <v>45176</v>
      </c>
    </row>
    <row r="328" spans="17:17" x14ac:dyDescent="0.25">
      <c r="Q328" s="23">
        <f t="shared" ca="1" si="0"/>
        <v>45421</v>
      </c>
    </row>
    <row r="329" spans="17:17" x14ac:dyDescent="0.25">
      <c r="Q329" s="24">
        <f t="shared" ca="1" si="0"/>
        <v>45517</v>
      </c>
    </row>
    <row r="330" spans="17:17" x14ac:dyDescent="0.25">
      <c r="Q330" s="23">
        <f t="shared" ca="1" si="0"/>
        <v>45381</v>
      </c>
    </row>
    <row r="331" spans="17:17" x14ac:dyDescent="0.25">
      <c r="Q331" s="24">
        <f t="shared" ca="1" si="0"/>
        <v>45628</v>
      </c>
    </row>
    <row r="332" spans="17:17" x14ac:dyDescent="0.25">
      <c r="Q332" s="23">
        <f t="shared" ca="1" si="0"/>
        <v>45880</v>
      </c>
    </row>
    <row r="333" spans="17:17" x14ac:dyDescent="0.25">
      <c r="Q333" s="24">
        <f t="shared" ca="1" si="0"/>
        <v>45108</v>
      </c>
    </row>
    <row r="334" spans="17:17" x14ac:dyDescent="0.25">
      <c r="Q334" s="23">
        <f t="shared" ca="1" si="0"/>
        <v>44973</v>
      </c>
    </row>
    <row r="335" spans="17:17" x14ac:dyDescent="0.25">
      <c r="Q335" s="24">
        <f t="shared" ca="1" si="0"/>
        <v>45906</v>
      </c>
    </row>
    <row r="336" spans="17:17" x14ac:dyDescent="0.25">
      <c r="Q336" s="23">
        <f t="shared" ca="1" si="0"/>
        <v>45945</v>
      </c>
    </row>
    <row r="337" spans="17:17" x14ac:dyDescent="0.25">
      <c r="Q337" s="24">
        <f t="shared" ca="1" si="0"/>
        <v>45096</v>
      </c>
    </row>
    <row r="338" spans="17:17" x14ac:dyDescent="0.25">
      <c r="Q338" s="23">
        <f t="shared" ca="1" si="0"/>
        <v>45119</v>
      </c>
    </row>
    <row r="339" spans="17:17" x14ac:dyDescent="0.25">
      <c r="Q339" s="24">
        <f t="shared" ca="1" si="0"/>
        <v>45001</v>
      </c>
    </row>
    <row r="340" spans="17:17" x14ac:dyDescent="0.25">
      <c r="Q340" s="23">
        <f t="shared" ca="1" si="0"/>
        <v>45701</v>
      </c>
    </row>
    <row r="341" spans="17:17" x14ac:dyDescent="0.25">
      <c r="Q341" s="24">
        <f t="shared" ca="1" si="0"/>
        <v>45127</v>
      </c>
    </row>
    <row r="342" spans="17:17" x14ac:dyDescent="0.25">
      <c r="Q342" s="23">
        <f t="shared" ca="1" si="0"/>
        <v>45321</v>
      </c>
    </row>
    <row r="343" spans="17:17" x14ac:dyDescent="0.25">
      <c r="Q343" s="24">
        <f t="shared" ca="1" si="0"/>
        <v>45309</v>
      </c>
    </row>
    <row r="344" spans="17:17" x14ac:dyDescent="0.25">
      <c r="Q344" s="23">
        <f t="shared" ca="1" si="0"/>
        <v>45831</v>
      </c>
    </row>
    <row r="345" spans="17:17" x14ac:dyDescent="0.25">
      <c r="Q345" s="24">
        <f t="shared" ca="1" si="0"/>
        <v>45406</v>
      </c>
    </row>
    <row r="346" spans="17:17" x14ac:dyDescent="0.25">
      <c r="Q346" s="23">
        <f t="shared" ca="1" si="0"/>
        <v>46007</v>
      </c>
    </row>
    <row r="347" spans="17:17" x14ac:dyDescent="0.25">
      <c r="Q347" s="24">
        <f t="shared" ca="1" si="0"/>
        <v>45398</v>
      </c>
    </row>
    <row r="348" spans="17:17" x14ac:dyDescent="0.25">
      <c r="Q348" s="23">
        <f t="shared" ca="1" si="0"/>
        <v>45612</v>
      </c>
    </row>
    <row r="349" spans="17:17" x14ac:dyDescent="0.25">
      <c r="Q349" s="24">
        <f t="shared" ca="1" si="0"/>
        <v>44951</v>
      </c>
    </row>
    <row r="350" spans="17:17" x14ac:dyDescent="0.25">
      <c r="Q350" s="23">
        <f t="shared" ca="1" si="0"/>
        <v>45883</v>
      </c>
    </row>
    <row r="351" spans="17:17" x14ac:dyDescent="0.25">
      <c r="Q351" s="24">
        <f t="shared" ca="1" si="0"/>
        <v>45623</v>
      </c>
    </row>
    <row r="352" spans="17:17" x14ac:dyDescent="0.25">
      <c r="Q352" s="23">
        <f t="shared" ca="1" si="0"/>
        <v>45164</v>
      </c>
    </row>
    <row r="353" spans="17:17" x14ac:dyDescent="0.25">
      <c r="Q353" s="24">
        <f t="shared" ca="1" si="0"/>
        <v>45224</v>
      </c>
    </row>
    <row r="354" spans="17:17" x14ac:dyDescent="0.25">
      <c r="Q354" s="23">
        <f t="shared" ca="1" si="0"/>
        <v>45309</v>
      </c>
    </row>
    <row r="355" spans="17:17" x14ac:dyDescent="0.25">
      <c r="Q355" s="24">
        <f t="shared" ca="1" si="0"/>
        <v>44974</v>
      </c>
    </row>
    <row r="356" spans="17:17" x14ac:dyDescent="0.25">
      <c r="Q356" s="23">
        <f t="shared" ca="1" si="0"/>
        <v>45078</v>
      </c>
    </row>
    <row r="357" spans="17:17" x14ac:dyDescent="0.25">
      <c r="Q357" s="24">
        <f t="shared" ca="1" si="0"/>
        <v>45188</v>
      </c>
    </row>
    <row r="358" spans="17:17" x14ac:dyDescent="0.25">
      <c r="Q358" s="23">
        <f t="shared" ca="1" si="0"/>
        <v>45456</v>
      </c>
    </row>
    <row r="359" spans="17:17" x14ac:dyDescent="0.25">
      <c r="Q359" s="24">
        <f t="shared" ca="1" si="0"/>
        <v>45204</v>
      </c>
    </row>
    <row r="360" spans="17:17" x14ac:dyDescent="0.25">
      <c r="Q360" s="23">
        <f t="shared" ca="1" si="0"/>
        <v>45483</v>
      </c>
    </row>
    <row r="361" spans="17:17" x14ac:dyDescent="0.25">
      <c r="Q361" s="24">
        <f t="shared" ca="1" si="0"/>
        <v>45000</v>
      </c>
    </row>
    <row r="362" spans="17:17" x14ac:dyDescent="0.25">
      <c r="Q362" s="23">
        <f t="shared" ca="1" si="0"/>
        <v>45861</v>
      </c>
    </row>
    <row r="363" spans="17:17" x14ac:dyDescent="0.25">
      <c r="Q363" s="24">
        <f t="shared" ca="1" si="0"/>
        <v>45655</v>
      </c>
    </row>
    <row r="364" spans="17:17" x14ac:dyDescent="0.25">
      <c r="Q364" s="23">
        <f t="shared" ca="1" si="0"/>
        <v>45655</v>
      </c>
    </row>
    <row r="365" spans="17:17" x14ac:dyDescent="0.25">
      <c r="Q365" s="24">
        <f t="shared" ca="1" si="0"/>
        <v>45323</v>
      </c>
    </row>
    <row r="366" spans="17:17" x14ac:dyDescent="0.25">
      <c r="Q366" s="23">
        <f t="shared" ref="Q366:Q429" ca="1" si="1">RANDBETWEEN(DATE(2023,1,1), DATE(2025,12,31))</f>
        <v>45175</v>
      </c>
    </row>
    <row r="367" spans="17:17" x14ac:dyDescent="0.25">
      <c r="Q367" s="24">
        <f t="shared" ca="1" si="1"/>
        <v>45413</v>
      </c>
    </row>
    <row r="368" spans="17:17" x14ac:dyDescent="0.25">
      <c r="Q368" s="23">
        <f t="shared" ca="1" si="1"/>
        <v>45768</v>
      </c>
    </row>
    <row r="369" spans="17:17" x14ac:dyDescent="0.25">
      <c r="Q369" s="24">
        <f t="shared" ca="1" si="1"/>
        <v>45874</v>
      </c>
    </row>
    <row r="370" spans="17:17" x14ac:dyDescent="0.25">
      <c r="Q370" s="23">
        <f t="shared" ca="1" si="1"/>
        <v>45640</v>
      </c>
    </row>
    <row r="371" spans="17:17" x14ac:dyDescent="0.25">
      <c r="Q371" s="24">
        <f t="shared" ca="1" si="1"/>
        <v>45087</v>
      </c>
    </row>
    <row r="372" spans="17:17" x14ac:dyDescent="0.25">
      <c r="Q372" s="23">
        <f t="shared" ca="1" si="1"/>
        <v>45173</v>
      </c>
    </row>
    <row r="373" spans="17:17" x14ac:dyDescent="0.25">
      <c r="Q373" s="24">
        <f t="shared" ca="1" si="1"/>
        <v>44936</v>
      </c>
    </row>
    <row r="374" spans="17:17" x14ac:dyDescent="0.25">
      <c r="Q374" s="23">
        <f t="shared" ca="1" si="1"/>
        <v>45803</v>
      </c>
    </row>
    <row r="375" spans="17:17" x14ac:dyDescent="0.25">
      <c r="Q375" s="24">
        <f t="shared" ca="1" si="1"/>
        <v>45418</v>
      </c>
    </row>
    <row r="376" spans="17:17" x14ac:dyDescent="0.25">
      <c r="Q376" s="23">
        <f t="shared" ca="1" si="1"/>
        <v>45141</v>
      </c>
    </row>
    <row r="377" spans="17:17" x14ac:dyDescent="0.25">
      <c r="Q377" s="24">
        <f t="shared" ca="1" si="1"/>
        <v>44978</v>
      </c>
    </row>
    <row r="378" spans="17:17" x14ac:dyDescent="0.25">
      <c r="Q378" s="23">
        <f t="shared" ca="1" si="1"/>
        <v>45338</v>
      </c>
    </row>
    <row r="379" spans="17:17" x14ac:dyDescent="0.25">
      <c r="Q379" s="24">
        <f t="shared" ca="1" si="1"/>
        <v>45170</v>
      </c>
    </row>
    <row r="380" spans="17:17" x14ac:dyDescent="0.25">
      <c r="Q380" s="23">
        <f t="shared" ca="1" si="1"/>
        <v>45398</v>
      </c>
    </row>
    <row r="381" spans="17:17" x14ac:dyDescent="0.25">
      <c r="Q381" s="24">
        <f t="shared" ca="1" si="1"/>
        <v>45787</v>
      </c>
    </row>
    <row r="382" spans="17:17" x14ac:dyDescent="0.25">
      <c r="Q382" s="23">
        <f t="shared" ca="1" si="1"/>
        <v>45585</v>
      </c>
    </row>
    <row r="383" spans="17:17" x14ac:dyDescent="0.25">
      <c r="Q383" s="24">
        <f t="shared" ca="1" si="1"/>
        <v>45260</v>
      </c>
    </row>
    <row r="384" spans="17:17" x14ac:dyDescent="0.25">
      <c r="Q384" s="23">
        <f t="shared" ca="1" si="1"/>
        <v>44982</v>
      </c>
    </row>
    <row r="385" spans="17:17" x14ac:dyDescent="0.25">
      <c r="Q385" s="24">
        <f t="shared" ca="1" si="1"/>
        <v>45168</v>
      </c>
    </row>
    <row r="386" spans="17:17" x14ac:dyDescent="0.25">
      <c r="Q386" s="23">
        <f t="shared" ca="1" si="1"/>
        <v>45593</v>
      </c>
    </row>
    <row r="387" spans="17:17" x14ac:dyDescent="0.25">
      <c r="Q387" s="24">
        <f t="shared" ca="1" si="1"/>
        <v>45343</v>
      </c>
    </row>
    <row r="388" spans="17:17" x14ac:dyDescent="0.25">
      <c r="Q388" s="23">
        <f t="shared" ca="1" si="1"/>
        <v>45528</v>
      </c>
    </row>
    <row r="389" spans="17:17" x14ac:dyDescent="0.25">
      <c r="Q389" s="24">
        <f t="shared" ca="1" si="1"/>
        <v>45986</v>
      </c>
    </row>
    <row r="390" spans="17:17" x14ac:dyDescent="0.25">
      <c r="Q390" s="23">
        <f t="shared" ca="1" si="1"/>
        <v>45389</v>
      </c>
    </row>
    <row r="391" spans="17:17" x14ac:dyDescent="0.25">
      <c r="Q391" s="24">
        <f t="shared" ca="1" si="1"/>
        <v>45878</v>
      </c>
    </row>
    <row r="392" spans="17:17" x14ac:dyDescent="0.25">
      <c r="Q392" s="23">
        <f t="shared" ca="1" si="1"/>
        <v>45789</v>
      </c>
    </row>
    <row r="393" spans="17:17" x14ac:dyDescent="0.25">
      <c r="Q393" s="24">
        <f t="shared" ca="1" si="1"/>
        <v>45581</v>
      </c>
    </row>
    <row r="394" spans="17:17" x14ac:dyDescent="0.25">
      <c r="Q394" s="23">
        <f t="shared" ca="1" si="1"/>
        <v>45046</v>
      </c>
    </row>
    <row r="395" spans="17:17" x14ac:dyDescent="0.25">
      <c r="Q395" s="24">
        <f t="shared" ca="1" si="1"/>
        <v>45120</v>
      </c>
    </row>
    <row r="396" spans="17:17" x14ac:dyDescent="0.25">
      <c r="Q396" s="23">
        <f t="shared" ca="1" si="1"/>
        <v>45422</v>
      </c>
    </row>
    <row r="397" spans="17:17" x14ac:dyDescent="0.25">
      <c r="Q397" s="24">
        <f t="shared" ca="1" si="1"/>
        <v>45019</v>
      </c>
    </row>
    <row r="398" spans="17:17" x14ac:dyDescent="0.25">
      <c r="Q398" s="23">
        <f t="shared" ca="1" si="1"/>
        <v>44949</v>
      </c>
    </row>
    <row r="399" spans="17:17" x14ac:dyDescent="0.25">
      <c r="Q399" s="24">
        <f t="shared" ca="1" si="1"/>
        <v>45303</v>
      </c>
    </row>
    <row r="400" spans="17:17" x14ac:dyDescent="0.25">
      <c r="Q400" s="23">
        <f t="shared" ca="1" si="1"/>
        <v>45852</v>
      </c>
    </row>
    <row r="401" spans="17:17" x14ac:dyDescent="0.25">
      <c r="Q401" s="24">
        <f t="shared" ca="1" si="1"/>
        <v>45293</v>
      </c>
    </row>
    <row r="402" spans="17:17" x14ac:dyDescent="0.25">
      <c r="Q402" s="23">
        <f t="shared" ca="1" si="1"/>
        <v>45844</v>
      </c>
    </row>
    <row r="403" spans="17:17" x14ac:dyDescent="0.25">
      <c r="Q403" s="24">
        <f t="shared" ca="1" si="1"/>
        <v>45217</v>
      </c>
    </row>
    <row r="404" spans="17:17" x14ac:dyDescent="0.25">
      <c r="Q404" s="23">
        <f t="shared" ca="1" si="1"/>
        <v>45156</v>
      </c>
    </row>
    <row r="405" spans="17:17" x14ac:dyDescent="0.25">
      <c r="Q405" s="24">
        <f t="shared" ca="1" si="1"/>
        <v>45888</v>
      </c>
    </row>
    <row r="406" spans="17:17" x14ac:dyDescent="0.25">
      <c r="Q406" s="23">
        <f t="shared" ca="1" si="1"/>
        <v>45191</v>
      </c>
    </row>
    <row r="407" spans="17:17" x14ac:dyDescent="0.25">
      <c r="Q407" s="24">
        <f t="shared" ca="1" si="1"/>
        <v>45600</v>
      </c>
    </row>
    <row r="408" spans="17:17" x14ac:dyDescent="0.25">
      <c r="Q408" s="23">
        <f t="shared" ca="1" si="1"/>
        <v>45675</v>
      </c>
    </row>
    <row r="409" spans="17:17" x14ac:dyDescent="0.25">
      <c r="Q409" s="24">
        <f t="shared" ca="1" si="1"/>
        <v>45219</v>
      </c>
    </row>
    <row r="410" spans="17:17" x14ac:dyDescent="0.25">
      <c r="Q410" s="23">
        <f t="shared" ca="1" si="1"/>
        <v>45993</v>
      </c>
    </row>
    <row r="411" spans="17:17" x14ac:dyDescent="0.25">
      <c r="Q411" s="24">
        <f t="shared" ca="1" si="1"/>
        <v>45768</v>
      </c>
    </row>
    <row r="412" spans="17:17" x14ac:dyDescent="0.25">
      <c r="Q412" s="23">
        <f t="shared" ca="1" si="1"/>
        <v>45098</v>
      </c>
    </row>
    <row r="413" spans="17:17" x14ac:dyDescent="0.25">
      <c r="Q413" s="24">
        <f t="shared" ca="1" si="1"/>
        <v>45325</v>
      </c>
    </row>
    <row r="414" spans="17:17" x14ac:dyDescent="0.25">
      <c r="Q414" s="23">
        <f t="shared" ca="1" si="1"/>
        <v>45035</v>
      </c>
    </row>
    <row r="415" spans="17:17" x14ac:dyDescent="0.25">
      <c r="Q415" s="24">
        <f t="shared" ca="1" si="1"/>
        <v>45669</v>
      </c>
    </row>
    <row r="416" spans="17:17" x14ac:dyDescent="0.25">
      <c r="Q416" s="23">
        <f t="shared" ca="1" si="1"/>
        <v>45177</v>
      </c>
    </row>
    <row r="417" spans="17:17" x14ac:dyDescent="0.25">
      <c r="Q417" s="24">
        <f t="shared" ca="1" si="1"/>
        <v>45191</v>
      </c>
    </row>
    <row r="418" spans="17:17" x14ac:dyDescent="0.25">
      <c r="Q418" s="23">
        <f t="shared" ca="1" si="1"/>
        <v>45492</v>
      </c>
    </row>
    <row r="419" spans="17:17" x14ac:dyDescent="0.25">
      <c r="Q419" s="24">
        <f t="shared" ca="1" si="1"/>
        <v>45411</v>
      </c>
    </row>
    <row r="420" spans="17:17" x14ac:dyDescent="0.25">
      <c r="Q420" s="23">
        <f t="shared" ca="1" si="1"/>
        <v>45878</v>
      </c>
    </row>
    <row r="421" spans="17:17" x14ac:dyDescent="0.25">
      <c r="Q421" s="24">
        <f t="shared" ca="1" si="1"/>
        <v>45525</v>
      </c>
    </row>
    <row r="422" spans="17:17" x14ac:dyDescent="0.25">
      <c r="Q422" s="23">
        <f t="shared" ca="1" si="1"/>
        <v>45245</v>
      </c>
    </row>
    <row r="423" spans="17:17" x14ac:dyDescent="0.25">
      <c r="Q423" s="24">
        <f t="shared" ca="1" si="1"/>
        <v>45662</v>
      </c>
    </row>
    <row r="424" spans="17:17" x14ac:dyDescent="0.25">
      <c r="Q424" s="23">
        <f t="shared" ca="1" si="1"/>
        <v>45461</v>
      </c>
    </row>
    <row r="425" spans="17:17" x14ac:dyDescent="0.25">
      <c r="Q425" s="24">
        <f t="shared" ca="1" si="1"/>
        <v>45463</v>
      </c>
    </row>
    <row r="426" spans="17:17" x14ac:dyDescent="0.25">
      <c r="Q426" s="23">
        <f t="shared" ca="1" si="1"/>
        <v>44932</v>
      </c>
    </row>
    <row r="427" spans="17:17" x14ac:dyDescent="0.25">
      <c r="Q427" s="24">
        <f t="shared" ca="1" si="1"/>
        <v>45871</v>
      </c>
    </row>
    <row r="428" spans="17:17" x14ac:dyDescent="0.25">
      <c r="Q428" s="23">
        <f t="shared" ca="1" si="1"/>
        <v>45967</v>
      </c>
    </row>
    <row r="429" spans="17:17" x14ac:dyDescent="0.25">
      <c r="Q429" s="24">
        <f t="shared" ca="1" si="1"/>
        <v>45237</v>
      </c>
    </row>
    <row r="430" spans="17:17" x14ac:dyDescent="0.25">
      <c r="Q430" s="23">
        <f t="shared" ref="Q430:Q493" ca="1" si="2">RANDBETWEEN(DATE(2023,1,1), DATE(2025,12,31))</f>
        <v>45453</v>
      </c>
    </row>
    <row r="431" spans="17:17" x14ac:dyDescent="0.25">
      <c r="Q431" s="24">
        <f t="shared" ca="1" si="2"/>
        <v>44966</v>
      </c>
    </row>
    <row r="432" spans="17:17" x14ac:dyDescent="0.25">
      <c r="Q432" s="23">
        <f t="shared" ca="1" si="2"/>
        <v>45805</v>
      </c>
    </row>
    <row r="433" spans="17:17" x14ac:dyDescent="0.25">
      <c r="Q433" s="24">
        <f t="shared" ca="1" si="2"/>
        <v>45063</v>
      </c>
    </row>
    <row r="434" spans="17:17" x14ac:dyDescent="0.25">
      <c r="Q434" s="23">
        <f t="shared" ca="1" si="2"/>
        <v>45616</v>
      </c>
    </row>
    <row r="435" spans="17:17" x14ac:dyDescent="0.25">
      <c r="Q435" s="24">
        <f t="shared" ca="1" si="2"/>
        <v>45591</v>
      </c>
    </row>
    <row r="436" spans="17:17" x14ac:dyDescent="0.25">
      <c r="Q436" s="23">
        <f t="shared" ca="1" si="2"/>
        <v>45270</v>
      </c>
    </row>
    <row r="437" spans="17:17" x14ac:dyDescent="0.25">
      <c r="Q437" s="24">
        <f t="shared" ca="1" si="2"/>
        <v>45516</v>
      </c>
    </row>
    <row r="438" spans="17:17" x14ac:dyDescent="0.25">
      <c r="Q438" s="23">
        <f t="shared" ca="1" si="2"/>
        <v>44941</v>
      </c>
    </row>
    <row r="439" spans="17:17" x14ac:dyDescent="0.25">
      <c r="Q439" s="24">
        <f t="shared" ca="1" si="2"/>
        <v>45915</v>
      </c>
    </row>
    <row r="440" spans="17:17" x14ac:dyDescent="0.25">
      <c r="Q440" s="23">
        <f t="shared" ca="1" si="2"/>
        <v>45313</v>
      </c>
    </row>
    <row r="441" spans="17:17" x14ac:dyDescent="0.25">
      <c r="Q441" s="24">
        <f t="shared" ca="1" si="2"/>
        <v>45332</v>
      </c>
    </row>
    <row r="442" spans="17:17" x14ac:dyDescent="0.25">
      <c r="Q442" s="23">
        <f t="shared" ca="1" si="2"/>
        <v>45251</v>
      </c>
    </row>
    <row r="443" spans="17:17" x14ac:dyDescent="0.25">
      <c r="Q443" s="24">
        <f t="shared" ca="1" si="2"/>
        <v>45518</v>
      </c>
    </row>
    <row r="444" spans="17:17" x14ac:dyDescent="0.25">
      <c r="Q444" s="23">
        <f t="shared" ca="1" si="2"/>
        <v>45517</v>
      </c>
    </row>
    <row r="445" spans="17:17" x14ac:dyDescent="0.25">
      <c r="Q445" s="24">
        <f t="shared" ca="1" si="2"/>
        <v>45183</v>
      </c>
    </row>
    <row r="446" spans="17:17" x14ac:dyDescent="0.25">
      <c r="Q446" s="23">
        <f t="shared" ca="1" si="2"/>
        <v>45187</v>
      </c>
    </row>
    <row r="447" spans="17:17" x14ac:dyDescent="0.25">
      <c r="Q447" s="24">
        <f t="shared" ca="1" si="2"/>
        <v>45326</v>
      </c>
    </row>
    <row r="448" spans="17:17" x14ac:dyDescent="0.25">
      <c r="Q448" s="23">
        <f t="shared" ca="1" si="2"/>
        <v>45618</v>
      </c>
    </row>
    <row r="449" spans="17:17" x14ac:dyDescent="0.25">
      <c r="Q449" s="24">
        <f t="shared" ca="1" si="2"/>
        <v>45829</v>
      </c>
    </row>
    <row r="450" spans="17:17" x14ac:dyDescent="0.25">
      <c r="Q450" s="23">
        <f t="shared" ca="1" si="2"/>
        <v>45775</v>
      </c>
    </row>
    <row r="451" spans="17:17" x14ac:dyDescent="0.25">
      <c r="Q451" s="24">
        <f t="shared" ca="1" si="2"/>
        <v>44932</v>
      </c>
    </row>
    <row r="452" spans="17:17" x14ac:dyDescent="0.25">
      <c r="Q452" s="23">
        <f t="shared" ca="1" si="2"/>
        <v>45650</v>
      </c>
    </row>
    <row r="453" spans="17:17" x14ac:dyDescent="0.25">
      <c r="Q453" s="24">
        <f t="shared" ca="1" si="2"/>
        <v>46014</v>
      </c>
    </row>
    <row r="454" spans="17:17" x14ac:dyDescent="0.25">
      <c r="Q454" s="23">
        <f t="shared" ca="1" si="2"/>
        <v>45390</v>
      </c>
    </row>
    <row r="455" spans="17:17" x14ac:dyDescent="0.25">
      <c r="Q455" s="24">
        <f t="shared" ca="1" si="2"/>
        <v>45612</v>
      </c>
    </row>
    <row r="456" spans="17:17" x14ac:dyDescent="0.25">
      <c r="Q456" s="23">
        <f t="shared" ca="1" si="2"/>
        <v>45568</v>
      </c>
    </row>
    <row r="457" spans="17:17" x14ac:dyDescent="0.25">
      <c r="Q457" s="24">
        <f t="shared" ca="1" si="2"/>
        <v>45984</v>
      </c>
    </row>
    <row r="458" spans="17:17" x14ac:dyDescent="0.25">
      <c r="Q458" s="23">
        <f t="shared" ca="1" si="2"/>
        <v>45142</v>
      </c>
    </row>
    <row r="459" spans="17:17" x14ac:dyDescent="0.25">
      <c r="Q459" s="24">
        <f t="shared" ca="1" si="2"/>
        <v>45172</v>
      </c>
    </row>
    <row r="460" spans="17:17" x14ac:dyDescent="0.25">
      <c r="Q460" s="23">
        <f t="shared" ca="1" si="2"/>
        <v>45214</v>
      </c>
    </row>
    <row r="461" spans="17:17" x14ac:dyDescent="0.25">
      <c r="Q461" s="24">
        <f t="shared" ca="1" si="2"/>
        <v>45514</v>
      </c>
    </row>
    <row r="462" spans="17:17" x14ac:dyDescent="0.25">
      <c r="Q462" s="23">
        <f t="shared" ca="1" si="2"/>
        <v>45477</v>
      </c>
    </row>
    <row r="463" spans="17:17" x14ac:dyDescent="0.25">
      <c r="Q463" s="24">
        <f t="shared" ca="1" si="2"/>
        <v>45417</v>
      </c>
    </row>
    <row r="464" spans="17:17" x14ac:dyDescent="0.25">
      <c r="Q464" s="23">
        <f t="shared" ca="1" si="2"/>
        <v>45083</v>
      </c>
    </row>
    <row r="465" spans="17:17" x14ac:dyDescent="0.25">
      <c r="Q465" s="24">
        <f t="shared" ca="1" si="2"/>
        <v>45867</v>
      </c>
    </row>
    <row r="466" spans="17:17" x14ac:dyDescent="0.25">
      <c r="Q466" s="23">
        <f t="shared" ca="1" si="2"/>
        <v>45538</v>
      </c>
    </row>
    <row r="467" spans="17:17" x14ac:dyDescent="0.25">
      <c r="Q467" s="24">
        <f t="shared" ca="1" si="2"/>
        <v>45285</v>
      </c>
    </row>
    <row r="468" spans="17:17" x14ac:dyDescent="0.25">
      <c r="Q468" s="23">
        <f t="shared" ca="1" si="2"/>
        <v>45378</v>
      </c>
    </row>
    <row r="469" spans="17:17" x14ac:dyDescent="0.25">
      <c r="Q469" s="24">
        <f t="shared" ca="1" si="2"/>
        <v>45465</v>
      </c>
    </row>
    <row r="470" spans="17:17" x14ac:dyDescent="0.25">
      <c r="Q470" s="23">
        <f t="shared" ca="1" si="2"/>
        <v>45154</v>
      </c>
    </row>
    <row r="471" spans="17:17" x14ac:dyDescent="0.25">
      <c r="Q471" s="24">
        <f t="shared" ca="1" si="2"/>
        <v>45446</v>
      </c>
    </row>
    <row r="472" spans="17:17" x14ac:dyDescent="0.25">
      <c r="Q472" s="23">
        <f t="shared" ca="1" si="2"/>
        <v>45188</v>
      </c>
    </row>
    <row r="473" spans="17:17" x14ac:dyDescent="0.25">
      <c r="Q473" s="24">
        <f t="shared" ca="1" si="2"/>
        <v>45573</v>
      </c>
    </row>
    <row r="474" spans="17:17" x14ac:dyDescent="0.25">
      <c r="Q474" s="23">
        <f t="shared" ca="1" si="2"/>
        <v>45618</v>
      </c>
    </row>
    <row r="475" spans="17:17" x14ac:dyDescent="0.25">
      <c r="Q475" s="24">
        <f t="shared" ca="1" si="2"/>
        <v>45005</v>
      </c>
    </row>
    <row r="476" spans="17:17" x14ac:dyDescent="0.25">
      <c r="Q476" s="23">
        <f t="shared" ca="1" si="2"/>
        <v>45654</v>
      </c>
    </row>
    <row r="477" spans="17:17" x14ac:dyDescent="0.25">
      <c r="Q477" s="24">
        <f t="shared" ca="1" si="2"/>
        <v>45332</v>
      </c>
    </row>
    <row r="478" spans="17:17" x14ac:dyDescent="0.25">
      <c r="Q478" s="23">
        <f t="shared" ca="1" si="2"/>
        <v>45810</v>
      </c>
    </row>
    <row r="479" spans="17:17" x14ac:dyDescent="0.25">
      <c r="Q479" s="24">
        <f t="shared" ca="1" si="2"/>
        <v>45567</v>
      </c>
    </row>
    <row r="480" spans="17:17" x14ac:dyDescent="0.25">
      <c r="Q480" s="23">
        <f t="shared" ca="1" si="2"/>
        <v>45495</v>
      </c>
    </row>
    <row r="481" spans="17:17" x14ac:dyDescent="0.25">
      <c r="Q481" s="24">
        <f t="shared" ca="1" si="2"/>
        <v>44953</v>
      </c>
    </row>
    <row r="482" spans="17:17" x14ac:dyDescent="0.25">
      <c r="Q482" s="23">
        <f t="shared" ca="1" si="2"/>
        <v>45641</v>
      </c>
    </row>
    <row r="483" spans="17:17" x14ac:dyDescent="0.25">
      <c r="Q483" s="24">
        <f t="shared" ca="1" si="2"/>
        <v>45536</v>
      </c>
    </row>
    <row r="484" spans="17:17" x14ac:dyDescent="0.25">
      <c r="Q484" s="23">
        <f t="shared" ca="1" si="2"/>
        <v>45271</v>
      </c>
    </row>
    <row r="485" spans="17:17" x14ac:dyDescent="0.25">
      <c r="Q485" s="24">
        <f t="shared" ca="1" si="2"/>
        <v>45394</v>
      </c>
    </row>
    <row r="486" spans="17:17" x14ac:dyDescent="0.25">
      <c r="Q486" s="23">
        <f t="shared" ca="1" si="2"/>
        <v>45423</v>
      </c>
    </row>
    <row r="487" spans="17:17" x14ac:dyDescent="0.25">
      <c r="Q487" s="24">
        <f t="shared" ca="1" si="2"/>
        <v>45874</v>
      </c>
    </row>
    <row r="488" spans="17:17" x14ac:dyDescent="0.25">
      <c r="Q488" s="23">
        <f t="shared" ca="1" si="2"/>
        <v>45993</v>
      </c>
    </row>
    <row r="489" spans="17:17" x14ac:dyDescent="0.25">
      <c r="Q489" s="24">
        <f t="shared" ca="1" si="2"/>
        <v>45324</v>
      </c>
    </row>
    <row r="490" spans="17:17" x14ac:dyDescent="0.25">
      <c r="Q490" s="23">
        <f t="shared" ca="1" si="2"/>
        <v>45065</v>
      </c>
    </row>
    <row r="491" spans="17:17" x14ac:dyDescent="0.25">
      <c r="Q491" s="24">
        <f t="shared" ca="1" si="2"/>
        <v>45037</v>
      </c>
    </row>
    <row r="492" spans="17:17" x14ac:dyDescent="0.25">
      <c r="Q492" s="23">
        <f t="shared" ca="1" si="2"/>
        <v>45330</v>
      </c>
    </row>
    <row r="493" spans="17:17" x14ac:dyDescent="0.25">
      <c r="Q493" s="24">
        <f t="shared" ca="1" si="2"/>
        <v>45999</v>
      </c>
    </row>
    <row r="494" spans="17:17" x14ac:dyDescent="0.25">
      <c r="Q494" s="23">
        <f t="shared" ref="Q494:Q557" ca="1" si="3">RANDBETWEEN(DATE(2023,1,1), DATE(2025,12,31))</f>
        <v>46010</v>
      </c>
    </row>
    <row r="495" spans="17:17" x14ac:dyDescent="0.25">
      <c r="Q495" s="24">
        <f t="shared" ca="1" si="3"/>
        <v>45827</v>
      </c>
    </row>
    <row r="496" spans="17:17" x14ac:dyDescent="0.25">
      <c r="Q496" s="23">
        <f t="shared" ca="1" si="3"/>
        <v>45585</v>
      </c>
    </row>
    <row r="497" spans="17:17" x14ac:dyDescent="0.25">
      <c r="Q497" s="24">
        <f t="shared" ca="1" si="3"/>
        <v>45904</v>
      </c>
    </row>
    <row r="498" spans="17:17" x14ac:dyDescent="0.25">
      <c r="Q498" s="23">
        <f t="shared" ca="1" si="3"/>
        <v>45219</v>
      </c>
    </row>
    <row r="499" spans="17:17" x14ac:dyDescent="0.25">
      <c r="Q499" s="24">
        <f t="shared" ca="1" si="3"/>
        <v>45741</v>
      </c>
    </row>
    <row r="500" spans="17:17" x14ac:dyDescent="0.25">
      <c r="Q500" s="23">
        <f t="shared" ca="1" si="3"/>
        <v>45543</v>
      </c>
    </row>
    <row r="501" spans="17:17" x14ac:dyDescent="0.25">
      <c r="Q501" s="24">
        <f t="shared" ca="1" si="3"/>
        <v>45703</v>
      </c>
    </row>
    <row r="502" spans="17:17" x14ac:dyDescent="0.25">
      <c r="Q502" s="23">
        <f t="shared" ca="1" si="3"/>
        <v>45348</v>
      </c>
    </row>
    <row r="503" spans="17:17" x14ac:dyDescent="0.25">
      <c r="Q503" s="24">
        <f t="shared" ca="1" si="3"/>
        <v>45160</v>
      </c>
    </row>
    <row r="504" spans="17:17" x14ac:dyDescent="0.25">
      <c r="Q504" s="23">
        <f t="shared" ca="1" si="3"/>
        <v>45442</v>
      </c>
    </row>
    <row r="505" spans="17:17" x14ac:dyDescent="0.25">
      <c r="Q505" s="24">
        <f t="shared" ca="1" si="3"/>
        <v>45432</v>
      </c>
    </row>
    <row r="506" spans="17:17" x14ac:dyDescent="0.25">
      <c r="Q506" s="23">
        <f t="shared" ca="1" si="3"/>
        <v>45016</v>
      </c>
    </row>
    <row r="507" spans="17:17" x14ac:dyDescent="0.25">
      <c r="Q507" s="24">
        <f t="shared" ca="1" si="3"/>
        <v>45712</v>
      </c>
    </row>
    <row r="508" spans="17:17" x14ac:dyDescent="0.25">
      <c r="Q508" s="23">
        <f t="shared" ca="1" si="3"/>
        <v>45788</v>
      </c>
    </row>
    <row r="509" spans="17:17" x14ac:dyDescent="0.25">
      <c r="Q509" s="24">
        <f t="shared" ca="1" si="3"/>
        <v>45032</v>
      </c>
    </row>
    <row r="510" spans="17:17" x14ac:dyDescent="0.25">
      <c r="Q510" s="23">
        <f t="shared" ca="1" si="3"/>
        <v>45668</v>
      </c>
    </row>
    <row r="511" spans="17:17" x14ac:dyDescent="0.25">
      <c r="Q511" s="24">
        <f t="shared" ca="1" si="3"/>
        <v>45823</v>
      </c>
    </row>
    <row r="512" spans="17:17" x14ac:dyDescent="0.25">
      <c r="Q512" s="23">
        <f t="shared" ca="1" si="3"/>
        <v>45339</v>
      </c>
    </row>
    <row r="513" spans="17:17" x14ac:dyDescent="0.25">
      <c r="Q513" s="24">
        <f t="shared" ca="1" si="3"/>
        <v>45578</v>
      </c>
    </row>
    <row r="514" spans="17:17" x14ac:dyDescent="0.25">
      <c r="Q514" s="23">
        <f t="shared" ca="1" si="3"/>
        <v>45452</v>
      </c>
    </row>
    <row r="515" spans="17:17" x14ac:dyDescent="0.25">
      <c r="Q515" s="24">
        <f t="shared" ca="1" si="3"/>
        <v>45402</v>
      </c>
    </row>
    <row r="516" spans="17:17" x14ac:dyDescent="0.25">
      <c r="Q516" s="23">
        <f t="shared" ca="1" si="3"/>
        <v>45155</v>
      </c>
    </row>
    <row r="517" spans="17:17" x14ac:dyDescent="0.25">
      <c r="Q517" s="24">
        <f t="shared" ca="1" si="3"/>
        <v>45722</v>
      </c>
    </row>
    <row r="518" spans="17:17" x14ac:dyDescent="0.25">
      <c r="Q518" s="23">
        <f t="shared" ca="1" si="3"/>
        <v>45004</v>
      </c>
    </row>
    <row r="519" spans="17:17" x14ac:dyDescent="0.25">
      <c r="Q519" s="24">
        <f t="shared" ca="1" si="3"/>
        <v>45017</v>
      </c>
    </row>
    <row r="520" spans="17:17" x14ac:dyDescent="0.25">
      <c r="Q520" s="23">
        <f t="shared" ca="1" si="3"/>
        <v>45012</v>
      </c>
    </row>
    <row r="521" spans="17:17" x14ac:dyDescent="0.25">
      <c r="Q521" s="24">
        <f t="shared" ca="1" si="3"/>
        <v>45898</v>
      </c>
    </row>
    <row r="522" spans="17:17" x14ac:dyDescent="0.25">
      <c r="Q522" s="23">
        <f t="shared" ca="1" si="3"/>
        <v>45136</v>
      </c>
    </row>
    <row r="523" spans="17:17" x14ac:dyDescent="0.25">
      <c r="Q523" s="24">
        <f t="shared" ca="1" si="3"/>
        <v>45808</v>
      </c>
    </row>
    <row r="524" spans="17:17" x14ac:dyDescent="0.25">
      <c r="Q524" s="23">
        <f t="shared" ca="1" si="3"/>
        <v>45877</v>
      </c>
    </row>
    <row r="525" spans="17:17" x14ac:dyDescent="0.25">
      <c r="Q525" s="24">
        <f t="shared" ca="1" si="3"/>
        <v>45542</v>
      </c>
    </row>
    <row r="526" spans="17:17" x14ac:dyDescent="0.25">
      <c r="Q526" s="23">
        <f t="shared" ca="1" si="3"/>
        <v>45780</v>
      </c>
    </row>
    <row r="527" spans="17:17" x14ac:dyDescent="0.25">
      <c r="Q527" s="24">
        <f t="shared" ca="1" si="3"/>
        <v>45828</v>
      </c>
    </row>
    <row r="528" spans="17:17" x14ac:dyDescent="0.25">
      <c r="Q528" s="23">
        <f t="shared" ca="1" si="3"/>
        <v>45895</v>
      </c>
    </row>
    <row r="529" spans="17:17" x14ac:dyDescent="0.25">
      <c r="Q529" s="24">
        <f t="shared" ca="1" si="3"/>
        <v>45440</v>
      </c>
    </row>
    <row r="530" spans="17:17" x14ac:dyDescent="0.25">
      <c r="Q530" s="23">
        <f t="shared" ca="1" si="3"/>
        <v>45187</v>
      </c>
    </row>
    <row r="531" spans="17:17" x14ac:dyDescent="0.25">
      <c r="Q531" s="24">
        <f t="shared" ca="1" si="3"/>
        <v>45921</v>
      </c>
    </row>
    <row r="532" spans="17:17" x14ac:dyDescent="0.25">
      <c r="Q532" s="23">
        <f t="shared" ca="1" si="3"/>
        <v>45726</v>
      </c>
    </row>
    <row r="533" spans="17:17" x14ac:dyDescent="0.25">
      <c r="Q533" s="24">
        <f t="shared" ca="1" si="3"/>
        <v>45297</v>
      </c>
    </row>
    <row r="534" spans="17:17" x14ac:dyDescent="0.25">
      <c r="Q534" s="23">
        <f t="shared" ca="1" si="3"/>
        <v>45484</v>
      </c>
    </row>
    <row r="535" spans="17:17" x14ac:dyDescent="0.25">
      <c r="Q535" s="24">
        <f t="shared" ca="1" si="3"/>
        <v>45024</v>
      </c>
    </row>
    <row r="536" spans="17:17" x14ac:dyDescent="0.25">
      <c r="Q536" s="23">
        <f t="shared" ca="1" si="3"/>
        <v>45291</v>
      </c>
    </row>
    <row r="537" spans="17:17" x14ac:dyDescent="0.25">
      <c r="Q537" s="24">
        <f t="shared" ca="1" si="3"/>
        <v>44952</v>
      </c>
    </row>
    <row r="538" spans="17:17" x14ac:dyDescent="0.25">
      <c r="Q538" s="23">
        <f t="shared" ca="1" si="3"/>
        <v>45803</v>
      </c>
    </row>
    <row r="539" spans="17:17" x14ac:dyDescent="0.25">
      <c r="Q539" s="24">
        <f t="shared" ca="1" si="3"/>
        <v>45136</v>
      </c>
    </row>
    <row r="540" spans="17:17" x14ac:dyDescent="0.25">
      <c r="Q540" s="23">
        <f t="shared" ca="1" si="3"/>
        <v>45069</v>
      </c>
    </row>
    <row r="541" spans="17:17" x14ac:dyDescent="0.25">
      <c r="Q541" s="24">
        <f t="shared" ca="1" si="3"/>
        <v>45423</v>
      </c>
    </row>
    <row r="542" spans="17:17" x14ac:dyDescent="0.25">
      <c r="Q542" s="23">
        <f t="shared" ca="1" si="3"/>
        <v>45011</v>
      </c>
    </row>
    <row r="543" spans="17:17" x14ac:dyDescent="0.25">
      <c r="Q543" s="24">
        <f t="shared" ca="1" si="3"/>
        <v>44980</v>
      </c>
    </row>
    <row r="544" spans="17:17" x14ac:dyDescent="0.25">
      <c r="Q544" s="23">
        <f t="shared" ca="1" si="3"/>
        <v>45049</v>
      </c>
    </row>
    <row r="545" spans="17:17" x14ac:dyDescent="0.25">
      <c r="Q545" s="24">
        <f t="shared" ca="1" si="3"/>
        <v>45411</v>
      </c>
    </row>
    <row r="546" spans="17:17" x14ac:dyDescent="0.25">
      <c r="Q546" s="23">
        <f t="shared" ca="1" si="3"/>
        <v>46019</v>
      </c>
    </row>
    <row r="547" spans="17:17" x14ac:dyDescent="0.25">
      <c r="Q547" s="24">
        <f t="shared" ca="1" si="3"/>
        <v>45396</v>
      </c>
    </row>
    <row r="548" spans="17:17" x14ac:dyDescent="0.25">
      <c r="Q548" s="23">
        <f t="shared" ca="1" si="3"/>
        <v>45630</v>
      </c>
    </row>
    <row r="549" spans="17:17" x14ac:dyDescent="0.25">
      <c r="Q549" s="24">
        <f t="shared" ca="1" si="3"/>
        <v>45109</v>
      </c>
    </row>
    <row r="550" spans="17:17" x14ac:dyDescent="0.25">
      <c r="Q550" s="23">
        <f t="shared" ca="1" si="3"/>
        <v>45685</v>
      </c>
    </row>
    <row r="551" spans="17:17" x14ac:dyDescent="0.25">
      <c r="Q551" s="24">
        <f t="shared" ca="1" si="3"/>
        <v>45744</v>
      </c>
    </row>
    <row r="552" spans="17:17" x14ac:dyDescent="0.25">
      <c r="Q552" s="23">
        <f t="shared" ca="1" si="3"/>
        <v>45315</v>
      </c>
    </row>
    <row r="553" spans="17:17" x14ac:dyDescent="0.25">
      <c r="Q553" s="24">
        <f t="shared" ca="1" si="3"/>
        <v>45392</v>
      </c>
    </row>
    <row r="554" spans="17:17" x14ac:dyDescent="0.25">
      <c r="Q554" s="23">
        <f t="shared" ca="1" si="3"/>
        <v>45090</v>
      </c>
    </row>
    <row r="555" spans="17:17" x14ac:dyDescent="0.25">
      <c r="Q555" s="24">
        <f t="shared" ca="1" si="3"/>
        <v>45696</v>
      </c>
    </row>
    <row r="556" spans="17:17" x14ac:dyDescent="0.25">
      <c r="Q556" s="23">
        <f t="shared" ca="1" si="3"/>
        <v>45280</v>
      </c>
    </row>
    <row r="557" spans="17:17" x14ac:dyDescent="0.25">
      <c r="Q557" s="24">
        <f t="shared" ca="1" si="3"/>
        <v>44942</v>
      </c>
    </row>
    <row r="558" spans="17:17" x14ac:dyDescent="0.25">
      <c r="Q558" s="23">
        <f t="shared" ref="Q558:Q601" ca="1" si="4">RANDBETWEEN(DATE(2023,1,1), DATE(2025,12,31))</f>
        <v>45710</v>
      </c>
    </row>
    <row r="559" spans="17:17" x14ac:dyDescent="0.25">
      <c r="Q559" s="24">
        <f t="shared" ca="1" si="4"/>
        <v>45328</v>
      </c>
    </row>
    <row r="560" spans="17:17" x14ac:dyDescent="0.25">
      <c r="Q560" s="23">
        <f t="shared" ca="1" si="4"/>
        <v>45600</v>
      </c>
    </row>
    <row r="561" spans="17:17" x14ac:dyDescent="0.25">
      <c r="Q561" s="24">
        <f t="shared" ca="1" si="4"/>
        <v>45935</v>
      </c>
    </row>
    <row r="562" spans="17:17" x14ac:dyDescent="0.25">
      <c r="Q562" s="23">
        <f t="shared" ca="1" si="4"/>
        <v>44980</v>
      </c>
    </row>
    <row r="563" spans="17:17" x14ac:dyDescent="0.25">
      <c r="Q563" s="24">
        <f t="shared" ca="1" si="4"/>
        <v>45238</v>
      </c>
    </row>
    <row r="564" spans="17:17" x14ac:dyDescent="0.25">
      <c r="Q564" s="23">
        <f t="shared" ca="1" si="4"/>
        <v>45641</v>
      </c>
    </row>
    <row r="565" spans="17:17" x14ac:dyDescent="0.25">
      <c r="Q565" s="24">
        <f t="shared" ca="1" si="4"/>
        <v>45133</v>
      </c>
    </row>
    <row r="566" spans="17:17" x14ac:dyDescent="0.25">
      <c r="Q566" s="23">
        <f t="shared" ca="1" si="4"/>
        <v>45322</v>
      </c>
    </row>
    <row r="567" spans="17:17" x14ac:dyDescent="0.25">
      <c r="Q567" s="24">
        <f t="shared" ca="1" si="4"/>
        <v>45480</v>
      </c>
    </row>
    <row r="568" spans="17:17" x14ac:dyDescent="0.25">
      <c r="Q568" s="23">
        <f t="shared" ca="1" si="4"/>
        <v>45689</v>
      </c>
    </row>
    <row r="569" spans="17:17" x14ac:dyDescent="0.25">
      <c r="Q569" s="24">
        <f t="shared" ca="1" si="4"/>
        <v>45801</v>
      </c>
    </row>
    <row r="570" spans="17:17" x14ac:dyDescent="0.25">
      <c r="Q570" s="23">
        <f t="shared" ca="1" si="4"/>
        <v>45145</v>
      </c>
    </row>
    <row r="571" spans="17:17" x14ac:dyDescent="0.25">
      <c r="Q571" s="24">
        <f t="shared" ca="1" si="4"/>
        <v>45654</v>
      </c>
    </row>
    <row r="572" spans="17:17" x14ac:dyDescent="0.25">
      <c r="Q572" s="23">
        <f t="shared" ca="1" si="4"/>
        <v>45181</v>
      </c>
    </row>
    <row r="573" spans="17:17" x14ac:dyDescent="0.25">
      <c r="Q573" s="24">
        <f t="shared" ca="1" si="4"/>
        <v>44965</v>
      </c>
    </row>
    <row r="574" spans="17:17" x14ac:dyDescent="0.25">
      <c r="Q574" s="23">
        <f t="shared" ca="1" si="4"/>
        <v>45565</v>
      </c>
    </row>
    <row r="575" spans="17:17" x14ac:dyDescent="0.25">
      <c r="Q575" s="24">
        <f t="shared" ca="1" si="4"/>
        <v>45285</v>
      </c>
    </row>
    <row r="576" spans="17:17" x14ac:dyDescent="0.25">
      <c r="Q576" s="23">
        <f t="shared" ca="1" si="4"/>
        <v>45294</v>
      </c>
    </row>
    <row r="577" spans="17:17" x14ac:dyDescent="0.25">
      <c r="Q577" s="24">
        <f t="shared" ca="1" si="4"/>
        <v>45791</v>
      </c>
    </row>
    <row r="578" spans="17:17" x14ac:dyDescent="0.25">
      <c r="Q578" s="23">
        <f t="shared" ca="1" si="4"/>
        <v>45492</v>
      </c>
    </row>
    <row r="579" spans="17:17" x14ac:dyDescent="0.25">
      <c r="Q579" s="24">
        <f t="shared" ca="1" si="4"/>
        <v>44953</v>
      </c>
    </row>
    <row r="580" spans="17:17" x14ac:dyDescent="0.25">
      <c r="Q580" s="23">
        <f t="shared" ca="1" si="4"/>
        <v>45926</v>
      </c>
    </row>
    <row r="581" spans="17:17" x14ac:dyDescent="0.25">
      <c r="Q581" s="24">
        <f t="shared" ca="1" si="4"/>
        <v>44978</v>
      </c>
    </row>
    <row r="582" spans="17:17" x14ac:dyDescent="0.25">
      <c r="Q582" s="23">
        <f t="shared" ca="1" si="4"/>
        <v>45620</v>
      </c>
    </row>
    <row r="583" spans="17:17" x14ac:dyDescent="0.25">
      <c r="Q583" s="24">
        <f t="shared" ca="1" si="4"/>
        <v>45291</v>
      </c>
    </row>
    <row r="584" spans="17:17" x14ac:dyDescent="0.25">
      <c r="Q584" s="23">
        <f t="shared" ca="1" si="4"/>
        <v>45591</v>
      </c>
    </row>
    <row r="585" spans="17:17" x14ac:dyDescent="0.25">
      <c r="Q585" s="24">
        <f t="shared" ca="1" si="4"/>
        <v>45490</v>
      </c>
    </row>
    <row r="586" spans="17:17" x14ac:dyDescent="0.25">
      <c r="Q586" s="23">
        <f t="shared" ca="1" si="4"/>
        <v>45966</v>
      </c>
    </row>
    <row r="587" spans="17:17" x14ac:dyDescent="0.25">
      <c r="Q587" s="24">
        <f t="shared" ca="1" si="4"/>
        <v>45237</v>
      </c>
    </row>
    <row r="588" spans="17:17" x14ac:dyDescent="0.25">
      <c r="Q588" s="23">
        <f t="shared" ca="1" si="4"/>
        <v>45188</v>
      </c>
    </row>
    <row r="589" spans="17:17" x14ac:dyDescent="0.25">
      <c r="Q589" s="24">
        <f t="shared" ca="1" si="4"/>
        <v>45245</v>
      </c>
    </row>
    <row r="590" spans="17:17" x14ac:dyDescent="0.25">
      <c r="Q590" s="23">
        <f t="shared" ca="1" si="4"/>
        <v>45441</v>
      </c>
    </row>
    <row r="591" spans="17:17" x14ac:dyDescent="0.25">
      <c r="Q591" s="24">
        <f t="shared" ca="1" si="4"/>
        <v>45322</v>
      </c>
    </row>
    <row r="592" spans="17:17" x14ac:dyDescent="0.25">
      <c r="Q592" s="23">
        <f t="shared" ca="1" si="4"/>
        <v>44968</v>
      </c>
    </row>
    <row r="593" spans="17:17" x14ac:dyDescent="0.25">
      <c r="Q593" s="24">
        <f t="shared" ca="1" si="4"/>
        <v>45582</v>
      </c>
    </row>
    <row r="594" spans="17:17" x14ac:dyDescent="0.25">
      <c r="Q594" s="23">
        <f t="shared" ca="1" si="4"/>
        <v>45811</v>
      </c>
    </row>
    <row r="595" spans="17:17" x14ac:dyDescent="0.25">
      <c r="Q595" s="24">
        <f t="shared" ca="1" si="4"/>
        <v>45458</v>
      </c>
    </row>
    <row r="596" spans="17:17" x14ac:dyDescent="0.25">
      <c r="Q596" s="23">
        <f t="shared" ca="1" si="4"/>
        <v>44975</v>
      </c>
    </row>
    <row r="597" spans="17:17" x14ac:dyDescent="0.25">
      <c r="Q597" s="24">
        <f t="shared" ca="1" si="4"/>
        <v>45961</v>
      </c>
    </row>
    <row r="598" spans="17:17" x14ac:dyDescent="0.25">
      <c r="Q598" s="23">
        <f t="shared" ca="1" si="4"/>
        <v>45687</v>
      </c>
    </row>
    <row r="599" spans="17:17" x14ac:dyDescent="0.25">
      <c r="Q599" s="24">
        <f t="shared" ca="1" si="4"/>
        <v>45950</v>
      </c>
    </row>
    <row r="600" spans="17:17" x14ac:dyDescent="0.25">
      <c r="Q600" s="23">
        <f t="shared" ca="1" si="4"/>
        <v>45074</v>
      </c>
    </row>
    <row r="601" spans="17:17" x14ac:dyDescent="0.25">
      <c r="Q601" s="24">
        <f t="shared" ca="1" si="4"/>
        <v>45215</v>
      </c>
    </row>
  </sheetData>
  <mergeCells count="4">
    <mergeCell ref="S1:T1"/>
    <mergeCell ref="V1:W1"/>
    <mergeCell ref="P1:Q1"/>
    <mergeCell ref="S17:T17"/>
  </mergeCell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5BC9-4A66-4175-AA1B-1EB829FB6481}">
  <dimension ref="A1:V306"/>
  <sheetViews>
    <sheetView topLeftCell="A272" zoomScale="101" zoomScaleNormal="77" workbookViewId="0">
      <selection activeCell="M80" sqref="M80"/>
    </sheetView>
  </sheetViews>
  <sheetFormatPr defaultRowHeight="15" x14ac:dyDescent="0.25"/>
  <cols>
    <col min="1" max="1" width="18" style="19" bestFit="1" customWidth="1"/>
    <col min="2" max="2" width="14" customWidth="1"/>
    <col min="3" max="3" width="22.7109375" bestFit="1" customWidth="1"/>
    <col min="4" max="4" width="17.7109375" customWidth="1"/>
    <col min="5" max="5" width="31.140625" bestFit="1" customWidth="1"/>
    <col min="6" max="6" width="6.28515625" customWidth="1"/>
    <col min="7" max="7" width="15" customWidth="1"/>
    <col min="8" max="8" width="17.28515625" customWidth="1"/>
    <col min="9" max="9" width="17.42578125" bestFit="1" customWidth="1"/>
    <col min="10" max="10" width="22" customWidth="1"/>
    <col min="13" max="13" width="10.7109375" bestFit="1" customWidth="1"/>
    <col min="14" max="14" width="12" bestFit="1" customWidth="1"/>
    <col min="15" max="15" width="22.7109375" bestFit="1" customWidth="1"/>
    <col min="16" max="16" width="15.85546875" customWidth="1"/>
    <col min="17" max="17" width="31.140625" bestFit="1" customWidth="1"/>
    <col min="18" max="18" width="13.5703125" customWidth="1"/>
    <col min="19" max="19" width="13.140625" bestFit="1" customWidth="1"/>
    <col min="20" max="20" width="15.42578125" bestFit="1" customWidth="1"/>
    <col min="21" max="21" width="14.28515625" bestFit="1" customWidth="1"/>
    <col min="22" max="22" width="20.28515625" bestFit="1" customWidth="1"/>
  </cols>
  <sheetData>
    <row r="1" spans="1:22" x14ac:dyDescent="0.25">
      <c r="A1" s="21" t="s">
        <v>0</v>
      </c>
      <c r="B1" t="s">
        <v>1</v>
      </c>
      <c r="C1" t="s">
        <v>2</v>
      </c>
      <c r="D1" t="s">
        <v>3</v>
      </c>
      <c r="E1" t="s">
        <v>4</v>
      </c>
      <c r="F1" t="s">
        <v>5</v>
      </c>
      <c r="G1" t="s">
        <v>1300</v>
      </c>
      <c r="H1" t="s">
        <v>6</v>
      </c>
      <c r="I1" t="s">
        <v>7</v>
      </c>
      <c r="J1" t="s">
        <v>8</v>
      </c>
      <c r="M1" s="9" t="s">
        <v>0</v>
      </c>
      <c r="N1" t="s">
        <v>1</v>
      </c>
      <c r="O1" t="s">
        <v>2</v>
      </c>
      <c r="P1" t="s">
        <v>3</v>
      </c>
      <c r="Q1" t="s">
        <v>4</v>
      </c>
      <c r="R1" t="s">
        <v>5</v>
      </c>
      <c r="S1" t="s">
        <v>1300</v>
      </c>
      <c r="T1" t="s">
        <v>6</v>
      </c>
      <c r="U1" t="s">
        <v>7</v>
      </c>
      <c r="V1" t="s">
        <v>8</v>
      </c>
    </row>
    <row r="2" spans="1:22" x14ac:dyDescent="0.25">
      <c r="A2" s="7" t="s">
        <v>1309</v>
      </c>
      <c r="B2" s="3" t="s">
        <v>10</v>
      </c>
      <c r="C2" s="3" t="s">
        <v>878</v>
      </c>
      <c r="D2" s="3" t="s">
        <v>12</v>
      </c>
      <c r="E2" s="3" t="s">
        <v>879</v>
      </c>
      <c r="F2" s="3">
        <v>3</v>
      </c>
      <c r="G2" s="3">
        <v>3500</v>
      </c>
      <c r="H2" s="3">
        <v>10500</v>
      </c>
      <c r="I2" s="3" t="s">
        <v>14</v>
      </c>
      <c r="J2" s="4" t="s">
        <v>880</v>
      </c>
      <c r="M2" s="10">
        <f>DATEVALUE(SUBSTITUTE(SUBSTITUTE(SUBSTITUTE(SUBSTITUTE(SUBSTITUTE(SUBSTITUTE(SUBSTITUTE(SUBSTITUTE(SUBSTITUTE(SUBSTITUTE(SUBSTITUTE(SUBSTITUTE(Table1[[#This Row],[Tanggal]],"Jan", "Jan"),"Feb","Feb"),"Mar","Mar"),"Apr","Apr"),"Mei","May"),"Jun","Jun"),"Jul","Jul"),"Agu","Aug"),"Sep","Sep"),"Okt","Oct"),"Nov","Nov"),"Des","Dec"))</f>
        <v>44927</v>
      </c>
      <c r="N2" t="str">
        <f>Table1[[#This Row],[ID_Transaksi]]</f>
        <v>INV-1001</v>
      </c>
      <c r="O2" s="3" t="s">
        <v>878</v>
      </c>
      <c r="P2" s="3" t="str">
        <f>PROPER(TRIM(Table1[[#This Row],[Kategori_Produk]]))</f>
        <v>Makanan</v>
      </c>
      <c r="Q2" t="str">
        <f>PROPER(TRIM(Table1[Nama Produk]))</f>
        <v>Mie Instan Rasa Ayam</v>
      </c>
      <c r="R2">
        <f>Table1[[#This Row],[Qty]]</f>
        <v>3</v>
      </c>
      <c r="S2" t="str">
        <f>SUBSTITUTE(SUBSTITUTE(Table1[[#This Row],[Harga_Satuan]],"Rp.",""),".","")</f>
        <v>3500</v>
      </c>
      <c r="T2">
        <f>Table1[[#This Row],[Total_Penjualan]]</f>
        <v>10500</v>
      </c>
      <c r="U2" t="str">
        <f>PROPER(Table1[[#This Row],[Kota]])</f>
        <v>Jakarta</v>
      </c>
      <c r="V2" t="str">
        <f>PROPER(Table1[[#This Row],[Metode_Pembayaran]])</f>
        <v>Tunai</v>
      </c>
    </row>
    <row r="3" spans="1:22" x14ac:dyDescent="0.25">
      <c r="A3" s="8" t="s">
        <v>1310</v>
      </c>
      <c r="B3" s="5" t="s">
        <v>17</v>
      </c>
      <c r="C3" s="5" t="s">
        <v>881</v>
      </c>
      <c r="D3" s="5" t="s">
        <v>19</v>
      </c>
      <c r="E3" s="5" t="s">
        <v>882</v>
      </c>
      <c r="F3" s="5">
        <v>10</v>
      </c>
      <c r="G3" s="5">
        <v>4000</v>
      </c>
      <c r="H3" s="5">
        <v>40000</v>
      </c>
      <c r="I3" s="5" t="s">
        <v>883</v>
      </c>
      <c r="J3" s="6" t="s">
        <v>884</v>
      </c>
      <c r="M3" s="10">
        <f>DATEVALUE(SUBSTITUTE(SUBSTITUTE(SUBSTITUTE(SUBSTITUTE(SUBSTITUTE(SUBSTITUTE(SUBSTITUTE(SUBSTITUTE(SUBSTITUTE(SUBSTITUTE(SUBSTITUTE(SUBSTITUTE(Table1[[#This Row],[Tanggal]],"Jan", "Jan"),"Feb","Feb"),"Mar","Mar"),"Apr","Apr"),"Mei","May"),"Jun","Jun"),"Jul","Jul"),"Agu","Aug"),"Sep","Sep"),"Okt","Oct"),"Nov","Nov"),"Des","Dec"))</f>
        <v>44928</v>
      </c>
      <c r="N3" t="str">
        <f>Table1[[#This Row],[ID_Transaksi]]</f>
        <v>TRX-1002</v>
      </c>
      <c r="O3" s="5" t="s">
        <v>881</v>
      </c>
      <c r="P3" s="3" t="str">
        <f>PROPER(TRIM(Table1[[#This Row],[Kategori_Produk]]))</f>
        <v>Minuman</v>
      </c>
      <c r="Q3" t="str">
        <f>PROPER(TRIM(Table1[Nama Produk]))</f>
        <v>Air Mineral Botol 600Ml</v>
      </c>
      <c r="R3">
        <f>Table1[[#This Row],[Qty]]</f>
        <v>10</v>
      </c>
      <c r="S3" t="str">
        <f>SUBSTITUTE(SUBSTITUTE(Table1[[#This Row],[Harga_Satuan]],"Rp.",""),".","")</f>
        <v>4000</v>
      </c>
      <c r="T3">
        <f>Table1[[#This Row],[Total_Penjualan]]</f>
        <v>40000</v>
      </c>
      <c r="U3" t="str">
        <f>PROPER(Table1[[#This Row],[Kota]])</f>
        <v>Bandung</v>
      </c>
      <c r="V3" t="str">
        <f>PROPER(Table1[[#This Row],[Metode_Pembayaran]])</f>
        <v>Kartu Debit</v>
      </c>
    </row>
    <row r="4" spans="1:22" x14ac:dyDescent="0.25">
      <c r="A4" s="7" t="s">
        <v>1311</v>
      </c>
      <c r="B4" s="3" t="s">
        <v>24</v>
      </c>
      <c r="C4" s="3" t="s">
        <v>885</v>
      </c>
      <c r="D4" s="3" t="s">
        <v>886</v>
      </c>
      <c r="E4" s="3" t="s">
        <v>887</v>
      </c>
      <c r="F4" s="3">
        <v>1</v>
      </c>
      <c r="G4" s="3">
        <v>25000</v>
      </c>
      <c r="H4" s="3">
        <v>25000</v>
      </c>
      <c r="I4" s="3" t="s">
        <v>28</v>
      </c>
      <c r="J4" s="4" t="s">
        <v>888</v>
      </c>
      <c r="M4" s="10">
        <f>DATEVALUE(SUBSTITUTE(SUBSTITUTE(SUBSTITUTE(SUBSTITUTE(SUBSTITUTE(SUBSTITUTE(SUBSTITUTE(SUBSTITUTE(SUBSTITUTE(SUBSTITUTE(SUBSTITUTE(SUBSTITUTE(Table1[[#This Row],[Tanggal]],"Jan", "Jan"),"Feb","Feb"),"Mar","Mar"),"Apr","Apr"),"Mei","May"),"Jun","Jun"),"Jul","Jul"),"Agu","Aug"),"Sep","Sep"),"Okt","Oct"),"Nov","Nov"),"Des","Dec"))</f>
        <v>44941</v>
      </c>
      <c r="N4" t="str">
        <f>Table1[[#This Row],[ID_Transaksi]]</f>
        <v>INV-1003</v>
      </c>
      <c r="O4" s="3" t="s">
        <v>885</v>
      </c>
      <c r="P4" s="3" t="str">
        <f>PROPER(TRIM(Table1[[#This Row],[Kategori_Produk]]))</f>
        <v>Elektronik</v>
      </c>
      <c r="Q4" t="str">
        <f>PROPER(TRIM(Table1[Nama Produk]))</f>
        <v>Lampu Led 10 Watt</v>
      </c>
      <c r="R4">
        <f>Table1[[#This Row],[Qty]]</f>
        <v>1</v>
      </c>
      <c r="S4" t="str">
        <f>SUBSTITUTE(SUBSTITUTE(Table1[[#This Row],[Harga_Satuan]],"Rp.",""),".","")</f>
        <v>25000</v>
      </c>
      <c r="T4">
        <f>Table1[[#This Row],[Total_Penjualan]]</f>
        <v>25000</v>
      </c>
      <c r="U4" t="str">
        <f>PROPER(Table1[[#This Row],[Kota]])</f>
        <v>Surabaya</v>
      </c>
      <c r="V4" t="str">
        <f>PROPER(Table1[[#This Row],[Metode_Pembayaran]])</f>
        <v>Kartu Kredit</v>
      </c>
    </row>
    <row r="5" spans="1:22" x14ac:dyDescent="0.25">
      <c r="A5" s="8" t="s">
        <v>1312</v>
      </c>
      <c r="B5" s="5" t="s">
        <v>31</v>
      </c>
      <c r="C5" s="5" t="s">
        <v>889</v>
      </c>
      <c r="D5" s="5" t="s">
        <v>890</v>
      </c>
      <c r="E5" s="5" t="s">
        <v>891</v>
      </c>
      <c r="F5" s="5">
        <v>2</v>
      </c>
      <c r="G5" s="5">
        <v>18000</v>
      </c>
      <c r="H5" s="5">
        <v>36000</v>
      </c>
      <c r="I5" s="5" t="s">
        <v>892</v>
      </c>
      <c r="J5" s="6" t="s">
        <v>893</v>
      </c>
      <c r="M5" s="10">
        <f>DATEVALUE(SUBSTITUTE(SUBSTITUTE(SUBSTITUTE(SUBSTITUTE(SUBSTITUTE(SUBSTITUTE(SUBSTITUTE(SUBSTITUTE(SUBSTITUTE(SUBSTITUTE(SUBSTITUTE(SUBSTITUTE(Table1[[#This Row],[Tanggal]],"Jan", "Jan"),"Feb","Feb"),"Mar","Mar"),"Apr","Apr"),"Mei","May"),"Jun","Jun"),"Jul","Jul"),"Agu","Aug"),"Sep","Sep"),"Okt","Oct"),"Nov","Nov"),"Des","Dec"))</f>
        <v>44954</v>
      </c>
      <c r="N5" t="str">
        <f>Table1[[#This Row],[ID_Transaksi]]</f>
        <v>TRX-1004</v>
      </c>
      <c r="O5" s="5" t="s">
        <v>889</v>
      </c>
      <c r="P5" s="3" t="str">
        <f>PROPER(TRIM(Table1[[#This Row],[Kategori_Produk]]))</f>
        <v>Kecantikan</v>
      </c>
      <c r="Q5" t="str">
        <f>PROPER(TRIM(Table1[Nama Produk]))</f>
        <v>Sabun Mandi Cair 500Ml</v>
      </c>
      <c r="R5">
        <f>Table1[[#This Row],[Qty]]</f>
        <v>2</v>
      </c>
      <c r="S5" t="str">
        <f>SUBSTITUTE(SUBSTITUTE(Table1[[#This Row],[Harga_Satuan]],"Rp.",""),".","")</f>
        <v>18000</v>
      </c>
      <c r="T5">
        <f>Table1[[#This Row],[Total_Penjualan]]</f>
        <v>36000</v>
      </c>
      <c r="U5" t="str">
        <f>PROPER(Table1[[#This Row],[Kota]])</f>
        <v>Jakarta Pusat</v>
      </c>
      <c r="V5" t="str">
        <f>PROPER(Table1[[#This Row],[Metode_Pembayaran]])</f>
        <v>Tunai</v>
      </c>
    </row>
    <row r="6" spans="1:22" x14ac:dyDescent="0.25">
      <c r="A6" s="7" t="s">
        <v>1309</v>
      </c>
      <c r="B6" s="3" t="s">
        <v>36</v>
      </c>
      <c r="C6" s="3" t="s">
        <v>894</v>
      </c>
      <c r="D6" s="3" t="s">
        <v>895</v>
      </c>
      <c r="E6" s="3" t="s">
        <v>896</v>
      </c>
      <c r="F6" s="3">
        <v>5</v>
      </c>
      <c r="G6" s="3" t="s">
        <v>897</v>
      </c>
      <c r="H6" s="3">
        <v>150000</v>
      </c>
      <c r="I6" s="3" t="s">
        <v>39</v>
      </c>
      <c r="J6" s="4" t="s">
        <v>884</v>
      </c>
      <c r="M6" s="10">
        <f>DATEVALUE(SUBSTITUTE(SUBSTITUTE(SUBSTITUTE(SUBSTITUTE(SUBSTITUTE(SUBSTITUTE(SUBSTITUTE(SUBSTITUTE(SUBSTITUTE(SUBSTITUTE(SUBSTITUTE(SUBSTITUTE(Table1[[#This Row],[Tanggal]],"Jan", "Jan"),"Feb","Feb"),"Mar","Mar"),"Apr","Apr"),"Mei","May"),"Jun","Jun"),"Jul","Jul"),"Agu","Aug"),"Sep","Sep"),"Okt","Oct"),"Nov","Nov"),"Des","Dec"))</f>
        <v>44927</v>
      </c>
      <c r="N6" t="str">
        <f>Table1[[#This Row],[ID_Transaksi]]</f>
        <v>INV-1005</v>
      </c>
      <c r="O6" s="3" t="s">
        <v>894</v>
      </c>
      <c r="P6" s="3" t="str">
        <f>PROPER(TRIM(Table1[[#This Row],[Kategori_Produk]]))</f>
        <v>Makanan</v>
      </c>
      <c r="Q6" t="str">
        <f>PROPER(TRIM(Table1[Nama Produk]))</f>
        <v>Kopi Robusta 250G</v>
      </c>
      <c r="R6">
        <f>Table1[[#This Row],[Qty]]</f>
        <v>5</v>
      </c>
      <c r="S6" t="str">
        <f>SUBSTITUTE(SUBSTITUTE(Table1[[#This Row],[Harga_Satuan]],"Rp.",""),".","")</f>
        <v>30000</v>
      </c>
      <c r="T6">
        <f>Table1[[#This Row],[Total_Penjualan]]</f>
        <v>150000</v>
      </c>
      <c r="U6" t="str">
        <f>PROPER(Table1[[#This Row],[Kota]])</f>
        <v>Depok</v>
      </c>
      <c r="V6" t="str">
        <f>PROPER(Table1[[#This Row],[Metode_Pembayaran]])</f>
        <v>Kartu Debit</v>
      </c>
    </row>
    <row r="7" spans="1:22" x14ac:dyDescent="0.25">
      <c r="A7" s="8" t="s">
        <v>1310</v>
      </c>
      <c r="B7" s="5" t="s">
        <v>41</v>
      </c>
      <c r="C7" s="5" t="s">
        <v>898</v>
      </c>
      <c r="D7" s="5" t="s">
        <v>43</v>
      </c>
      <c r="E7" s="5" t="s">
        <v>44</v>
      </c>
      <c r="F7" s="5">
        <v>4</v>
      </c>
      <c r="G7" s="5">
        <v>50000</v>
      </c>
      <c r="H7" s="5">
        <v>200000</v>
      </c>
      <c r="I7" s="5" t="s">
        <v>899</v>
      </c>
      <c r="J7" s="6" t="s">
        <v>880</v>
      </c>
      <c r="M7" s="10">
        <f>DATEVALUE(SUBSTITUTE(SUBSTITUTE(SUBSTITUTE(SUBSTITUTE(SUBSTITUTE(SUBSTITUTE(SUBSTITUTE(SUBSTITUTE(SUBSTITUTE(SUBSTITUTE(SUBSTITUTE(SUBSTITUTE(Table1[[#This Row],[Tanggal]],"Jan", "Jan"),"Feb","Feb"),"Mar","Mar"),"Apr","Apr"),"Mei","May"),"Jun","Jun"),"Jul","Jul"),"Agu","Aug"),"Sep","Sep"),"Okt","Oct"),"Nov","Nov"),"Des","Dec"))</f>
        <v>44928</v>
      </c>
      <c r="N7" t="str">
        <f>Table1[[#This Row],[ID_Transaksi]]</f>
        <v>TRX-1006</v>
      </c>
      <c r="O7" s="5" t="s">
        <v>898</v>
      </c>
      <c r="P7" s="3" t="str">
        <f>PROPER(TRIM(Table1[[#This Row],[Kategori_Produk]]))</f>
        <v>Pakaian</v>
      </c>
      <c r="Q7" t="str">
        <f>PROPER(TRIM(Table1[Nama Produk]))</f>
        <v>Kaos Oblong Pria</v>
      </c>
      <c r="R7">
        <f>Table1[[#This Row],[Qty]]</f>
        <v>4</v>
      </c>
      <c r="S7" t="str">
        <f>SUBSTITUTE(SUBSTITUTE(Table1[[#This Row],[Harga_Satuan]],"Rp.",""),".","")</f>
        <v>50000</v>
      </c>
      <c r="T7">
        <f>Table1[[#This Row],[Total_Penjualan]]</f>
        <v>200000</v>
      </c>
      <c r="U7" t="str">
        <f>PROPER(Table1[[#This Row],[Kota]])</f>
        <v>Medan</v>
      </c>
      <c r="V7" t="str">
        <f>PROPER(Table1[[#This Row],[Metode_Pembayaran]])</f>
        <v>Tunai</v>
      </c>
    </row>
    <row r="8" spans="1:22" x14ac:dyDescent="0.25">
      <c r="A8" s="7" t="s">
        <v>1311</v>
      </c>
      <c r="B8" s="3" t="s">
        <v>46</v>
      </c>
      <c r="C8" s="3" t="s">
        <v>900</v>
      </c>
      <c r="D8" s="3" t="s">
        <v>901</v>
      </c>
      <c r="E8" s="3" t="s">
        <v>49</v>
      </c>
      <c r="F8" s="3">
        <v>1</v>
      </c>
      <c r="G8" s="3">
        <v>15000</v>
      </c>
      <c r="H8" s="3">
        <v>15000</v>
      </c>
      <c r="I8" s="3" t="s">
        <v>21</v>
      </c>
      <c r="J8" s="4" t="s">
        <v>29</v>
      </c>
      <c r="M8" s="10">
        <f>DATEVALUE(SUBSTITUTE(SUBSTITUTE(SUBSTITUTE(SUBSTITUTE(SUBSTITUTE(SUBSTITUTE(SUBSTITUTE(SUBSTITUTE(SUBSTITUTE(SUBSTITUTE(SUBSTITUTE(SUBSTITUTE(Table1[[#This Row],[Tanggal]],"Jan", "Jan"),"Feb","Feb"),"Mar","Mar"),"Apr","Apr"),"Mei","May"),"Jun","Jun"),"Jul","Jul"),"Agu","Aug"),"Sep","Sep"),"Okt","Oct"),"Nov","Nov"),"Des","Dec"))</f>
        <v>44941</v>
      </c>
      <c r="N8" t="str">
        <f>Table1[[#This Row],[ID_Transaksi]]</f>
        <v>INV-1007</v>
      </c>
      <c r="O8" s="3" t="s">
        <v>900</v>
      </c>
      <c r="P8" s="3" t="str">
        <f>PROPER(TRIM(Table1[[#This Row],[Kategori_Produk]]))</f>
        <v>Mainan</v>
      </c>
      <c r="Q8" t="str">
        <f>PROPER(TRIM(Table1[Nama Produk]))</f>
        <v>Mobil Mainan Plastik</v>
      </c>
      <c r="R8">
        <f>Table1[[#This Row],[Qty]]</f>
        <v>1</v>
      </c>
      <c r="S8" t="str">
        <f>SUBSTITUTE(SUBSTITUTE(Table1[[#This Row],[Harga_Satuan]],"Rp.",""),".","")</f>
        <v>15000</v>
      </c>
      <c r="T8">
        <f>Table1[[#This Row],[Total_Penjualan]]</f>
        <v>15000</v>
      </c>
      <c r="U8" t="str">
        <f>PROPER(Table1[[#This Row],[Kota]])</f>
        <v>Bandung</v>
      </c>
      <c r="V8" t="str">
        <f>PROPER(Table1[[#This Row],[Metode_Pembayaran]])</f>
        <v>Kartu Kredit</v>
      </c>
    </row>
    <row r="9" spans="1:22" x14ac:dyDescent="0.25">
      <c r="A9" s="8" t="s">
        <v>1312</v>
      </c>
      <c r="B9" s="5" t="s">
        <v>50</v>
      </c>
      <c r="C9" s="5" t="s">
        <v>902</v>
      </c>
      <c r="D9" s="5" t="s">
        <v>12</v>
      </c>
      <c r="E9" s="5" t="s">
        <v>52</v>
      </c>
      <c r="F9" s="5">
        <v>8</v>
      </c>
      <c r="G9" s="5">
        <v>12500</v>
      </c>
      <c r="H9" s="5">
        <v>100000</v>
      </c>
      <c r="I9" s="5" t="s">
        <v>53</v>
      </c>
      <c r="J9" s="6" t="s">
        <v>893</v>
      </c>
      <c r="M9" s="10">
        <f>DATEVALUE(SUBSTITUTE(SUBSTITUTE(SUBSTITUTE(SUBSTITUTE(SUBSTITUTE(SUBSTITUTE(SUBSTITUTE(SUBSTITUTE(SUBSTITUTE(SUBSTITUTE(SUBSTITUTE(SUBSTITUTE(Table1[[#This Row],[Tanggal]],"Jan", "Jan"),"Feb","Feb"),"Mar","Mar"),"Apr","Apr"),"Mei","May"),"Jun","Jun"),"Jul","Jul"),"Agu","Aug"),"Sep","Sep"),"Okt","Oct"),"Nov","Nov"),"Des","Dec"))</f>
        <v>44954</v>
      </c>
      <c r="N9" t="str">
        <f>Table1[[#This Row],[ID_Transaksi]]</f>
        <v>TRX-1008</v>
      </c>
      <c r="O9" s="5" t="s">
        <v>902</v>
      </c>
      <c r="P9" s="3" t="str">
        <f>PROPER(TRIM(Table1[[#This Row],[Kategori_Produk]]))</f>
        <v>Makanan</v>
      </c>
      <c r="Q9" t="str">
        <f>PROPER(TRIM(Table1[Nama Produk]))</f>
        <v>Snack Keripik Kentang</v>
      </c>
      <c r="R9">
        <f>Table1[[#This Row],[Qty]]</f>
        <v>8</v>
      </c>
      <c r="S9" t="str">
        <f>SUBSTITUTE(SUBSTITUTE(Table1[[#This Row],[Harga_Satuan]],"Rp.",""),".","")</f>
        <v>12500</v>
      </c>
      <c r="T9">
        <f>Table1[[#This Row],[Total_Penjualan]]</f>
        <v>100000</v>
      </c>
      <c r="U9" t="str">
        <f>PROPER(Table1[[#This Row],[Kota]])</f>
        <v>Semarang</v>
      </c>
      <c r="V9" t="str">
        <f>PROPER(Table1[[#This Row],[Metode_Pembayaran]])</f>
        <v>Tunai</v>
      </c>
    </row>
    <row r="10" spans="1:22" x14ac:dyDescent="0.25">
      <c r="A10" s="7" t="s">
        <v>1313</v>
      </c>
      <c r="B10" s="3" t="s">
        <v>54</v>
      </c>
      <c r="C10" s="3" t="s">
        <v>903</v>
      </c>
      <c r="D10" s="3" t="s">
        <v>19</v>
      </c>
      <c r="E10" s="3" t="s">
        <v>55</v>
      </c>
      <c r="F10" s="3">
        <v>2</v>
      </c>
      <c r="G10" s="3">
        <v>7000</v>
      </c>
      <c r="H10" s="3">
        <v>14000</v>
      </c>
      <c r="I10" s="3" t="s">
        <v>28</v>
      </c>
      <c r="J10" s="4" t="s">
        <v>904</v>
      </c>
      <c r="M10" s="10">
        <f>DATEVALUE(SUBSTITUTE(SUBSTITUTE(SUBSTITUTE(SUBSTITUTE(SUBSTITUTE(SUBSTITUTE(SUBSTITUTE(SUBSTITUTE(SUBSTITUTE(SUBSTITUTE(SUBSTITUTE(SUBSTITUTE(Table1[[#This Row],[Tanggal]],"Jan", "Jan"),"Feb","Feb"),"Mar","Mar"),"Apr","Apr"),"Mei","May"),"Jun","Jun"),"Jul","Jul"),"Agu","Aug"),"Sep","Sep"),"Okt","Oct"),"Nov","Nov"),"Des","Dec"))</f>
        <v>44962</v>
      </c>
      <c r="N10" t="str">
        <f>Table1[[#This Row],[ID_Transaksi]]</f>
        <v>INV-1009</v>
      </c>
      <c r="O10" s="3" t="s">
        <v>903</v>
      </c>
      <c r="P10" s="3" t="str">
        <f>PROPER(TRIM(Table1[[#This Row],[Kategori_Produk]]))</f>
        <v>Minuman</v>
      </c>
      <c r="Q10" t="str">
        <f>PROPER(TRIM(Table1[Nama Produk]))</f>
        <v>Teh Celup Kotak Kecil</v>
      </c>
      <c r="R10">
        <f>Table1[[#This Row],[Qty]]</f>
        <v>2</v>
      </c>
      <c r="S10" t="str">
        <f>SUBSTITUTE(SUBSTITUTE(Table1[[#This Row],[Harga_Satuan]],"Rp.",""),".","")</f>
        <v>7000</v>
      </c>
      <c r="T10">
        <f>Table1[[#This Row],[Total_Penjualan]]</f>
        <v>14000</v>
      </c>
      <c r="U10" t="str">
        <f>PROPER(Table1[[#This Row],[Kota]])</f>
        <v>Surabaya</v>
      </c>
      <c r="V10" t="str">
        <f>PROPER(Table1[[#This Row],[Metode_Pembayaran]])</f>
        <v>Kartu Debit</v>
      </c>
    </row>
    <row r="11" spans="1:22" x14ac:dyDescent="0.25">
      <c r="A11" s="8" t="s">
        <v>1314</v>
      </c>
      <c r="B11" s="3" t="s">
        <v>56</v>
      </c>
      <c r="C11" s="5" t="s">
        <v>905</v>
      </c>
      <c r="D11" s="5" t="s">
        <v>886</v>
      </c>
      <c r="E11" s="5" t="s">
        <v>906</v>
      </c>
      <c r="F11" s="5">
        <v>3</v>
      </c>
      <c r="G11" s="5">
        <v>30000</v>
      </c>
      <c r="H11" s="5">
        <v>90000</v>
      </c>
      <c r="I11" s="5" t="s">
        <v>59</v>
      </c>
      <c r="J11" s="6" t="s">
        <v>907</v>
      </c>
      <c r="M11" s="10">
        <f>DATEVALUE(SUBSTITUTE(SUBSTITUTE(SUBSTITUTE(SUBSTITUTE(SUBSTITUTE(SUBSTITUTE(SUBSTITUTE(SUBSTITUTE(SUBSTITUTE(SUBSTITUTE(SUBSTITUTE(SUBSTITUTE(Table1[[#This Row],[Tanggal]],"Jan", "Jan"),"Feb","Feb"),"Mar","Mar"),"Apr","Apr"),"Mei","May"),"Jun","Jun"),"Jul","Jul"),"Agu","Aug"),"Sep","Sep"),"Okt","Oct"),"Nov","Nov"),"Des","Dec"))</f>
        <v>44968</v>
      </c>
      <c r="N11" t="s">
        <v>54</v>
      </c>
      <c r="O11" s="5" t="str">
        <f>PROPER(TRIM(SUBSTITUTE(Table1[[#This Row],[Nama_Toko]],"""","")))</f>
        <v>Toko Sembako</v>
      </c>
      <c r="P11" s="3" t="str">
        <f>PROPER(TRIM(Table1[[#This Row],[Kategori_Produk]]))</f>
        <v>Elektronik</v>
      </c>
      <c r="Q11" t="str">
        <f>PROPER(TRIM(Table1[Nama Produk]))</f>
        <v>Baterai Aa Pack 4</v>
      </c>
      <c r="R11">
        <f>Table1[[#This Row],[Qty]]</f>
        <v>3</v>
      </c>
      <c r="S11" t="str">
        <f>SUBSTITUTE(SUBSTITUTE(Table1[[#This Row],[Harga_Satuan]],"Rp.",""),".","")</f>
        <v>30000</v>
      </c>
      <c r="T11">
        <f>Table1[[#This Row],[Total_Penjualan]]</f>
        <v>90000</v>
      </c>
      <c r="U11" t="str">
        <f>PROPER(Table1[[#This Row],[Kota]])</f>
        <v>Denpasar</v>
      </c>
      <c r="V11" t="str">
        <f>PROPER(Table1[[#This Row],[Metode_Pembayaran]])</f>
        <v>Kartu Kredit</v>
      </c>
    </row>
    <row r="12" spans="1:22" x14ac:dyDescent="0.25">
      <c r="A12" s="7" t="s">
        <v>1315</v>
      </c>
      <c r="B12" s="3" t="s">
        <v>60</v>
      </c>
      <c r="C12" s="3" t="s">
        <v>908</v>
      </c>
      <c r="D12" s="3" t="s">
        <v>890</v>
      </c>
      <c r="E12" s="3" t="s">
        <v>62</v>
      </c>
      <c r="F12" s="3">
        <v>1</v>
      </c>
      <c r="G12" s="3">
        <v>22000</v>
      </c>
      <c r="H12" s="3">
        <v>22000</v>
      </c>
      <c r="I12" s="3" t="s">
        <v>909</v>
      </c>
      <c r="J12" s="4" t="s">
        <v>880</v>
      </c>
      <c r="M12" s="10">
        <f>DATEVALUE(SUBSTITUTE(SUBSTITUTE(SUBSTITUTE(SUBSTITUTE(SUBSTITUTE(SUBSTITUTE(SUBSTITUTE(SUBSTITUTE(SUBSTITUTE(SUBSTITUTE(SUBSTITUTE(SUBSTITUTE(Table1[[#This Row],[Tanggal]],"Jan", "Jan"),"Feb","Feb"),"Mar","Mar"),"Apr","Apr"),"Mei","May"),"Jun","Jun"),"Jul","Jul"),"Agu","Aug"),"Sep","Sep"),"Okt","Oct"),"Nov","Nov"),"Des","Dec"))</f>
        <v>44979</v>
      </c>
      <c r="N12" t="str">
        <f>Table1[[#This Row],[ID_Transaksi]]</f>
        <v>TRX-1011</v>
      </c>
      <c r="O12" s="5" t="str">
        <f>PROPER(TRIM(SUBSTITUTE(Table1[[#This Row],[Nama_Toko]],"""","")))</f>
        <v>Warung Depan</v>
      </c>
      <c r="P12" s="3" t="str">
        <f>PROPER(TRIM(Table1[[#This Row],[Kategori_Produk]]))</f>
        <v>Kecantikan</v>
      </c>
      <c r="Q12" t="str">
        <f>PROPER(TRIM(Table1[Nama Produk]))</f>
        <v>Shampoo Anti Ketombe</v>
      </c>
      <c r="R12">
        <f>Table1[[#This Row],[Qty]]</f>
        <v>1</v>
      </c>
      <c r="S12" t="str">
        <f>SUBSTITUTE(SUBSTITUTE(Table1[[#This Row],[Harga_Satuan]],"Rp.",""),".","")</f>
        <v>22000</v>
      </c>
      <c r="T12">
        <f>Table1[[#This Row],[Total_Penjualan]]</f>
        <v>22000</v>
      </c>
      <c r="U12" t="str">
        <f>PROPER(Table1[[#This Row],[Kota]])</f>
        <v>Jakarta Barat</v>
      </c>
      <c r="V12" t="str">
        <f>PROPER(Table1[[#This Row],[Metode_Pembayaran]])</f>
        <v>Tunai</v>
      </c>
    </row>
    <row r="13" spans="1:22" x14ac:dyDescent="0.25">
      <c r="A13" s="8" t="s">
        <v>1316</v>
      </c>
      <c r="B13" s="5" t="s">
        <v>64</v>
      </c>
      <c r="C13" s="5" t="s">
        <v>910</v>
      </c>
      <c r="D13" s="5" t="s">
        <v>895</v>
      </c>
      <c r="E13" s="5" t="s">
        <v>911</v>
      </c>
      <c r="F13" s="5">
        <v>6</v>
      </c>
      <c r="G13" s="5">
        <v>8000</v>
      </c>
      <c r="H13" s="5">
        <v>48000</v>
      </c>
      <c r="I13" s="5" t="s">
        <v>67</v>
      </c>
      <c r="J13" s="6" t="s">
        <v>884</v>
      </c>
      <c r="M13" s="10">
        <f>DATEVALUE(SUBSTITUTE(SUBSTITUTE(SUBSTITUTE(SUBSTITUTE(SUBSTITUTE(SUBSTITUTE(SUBSTITUTE(SUBSTITUTE(SUBSTITUTE(SUBSTITUTE(SUBSTITUTE(SUBSTITUTE(Table1[[#This Row],[Tanggal]],"Jan", "Jan"),"Feb","Feb"),"Mar","Mar"),"Apr","Apr"),"Mei","May"),"Jun","Jun"),"Jul","Jul"),"Agu","Aug"),"Sep","Sep"),"Okt","Oct"),"Nov","Nov"),"Des","Dec"))</f>
        <v>44988</v>
      </c>
      <c r="N13" t="str">
        <f>Table1[[#This Row],[ID_Transaksi]]</f>
        <v>INV-1012</v>
      </c>
      <c r="O13" s="5" t="str">
        <f>PROPER(TRIM(SUBSTITUTE(Table1[[#This Row],[Nama_Toko]],"""","")))</f>
        <v>Toko Hoki</v>
      </c>
      <c r="P13" s="3" t="str">
        <f>PROPER(TRIM(Table1[[#This Row],[Kategori_Produk]]))</f>
        <v>Makanan</v>
      </c>
      <c r="Q13" t="str">
        <f>PROPER(TRIM(Table1[Nama Produk]))</f>
        <v>Biskuit Rasa Coklat</v>
      </c>
      <c r="R13">
        <f>Table1[[#This Row],[Qty]]</f>
        <v>6</v>
      </c>
      <c r="S13" t="str">
        <f>SUBSTITUTE(SUBSTITUTE(Table1[[#This Row],[Harga_Satuan]],"Rp.",""),".","")</f>
        <v>8000</v>
      </c>
      <c r="T13">
        <f>Table1[[#This Row],[Total_Penjualan]]</f>
        <v>48000</v>
      </c>
      <c r="U13" t="str">
        <f>PROPER(Table1[[#This Row],[Kota]])</f>
        <v>Malang</v>
      </c>
      <c r="V13" t="str">
        <f>PROPER(Table1[[#This Row],[Metode_Pembayaran]])</f>
        <v>Kartu Debit</v>
      </c>
    </row>
    <row r="14" spans="1:22" x14ac:dyDescent="0.25">
      <c r="A14" s="7" t="s">
        <v>1317</v>
      </c>
      <c r="B14" s="3" t="s">
        <v>68</v>
      </c>
      <c r="C14" s="3" t="s">
        <v>912</v>
      </c>
      <c r="D14" s="3" t="s">
        <v>43</v>
      </c>
      <c r="E14" s="3" t="s">
        <v>70</v>
      </c>
      <c r="F14" s="3">
        <v>1</v>
      </c>
      <c r="G14" s="3">
        <v>350000</v>
      </c>
      <c r="H14" s="3">
        <v>350000</v>
      </c>
      <c r="I14" s="3" t="s">
        <v>913</v>
      </c>
      <c r="J14" s="4" t="s">
        <v>29</v>
      </c>
      <c r="M14" s="10">
        <f>DATEVALUE(SUBSTITUTE(SUBSTITUTE(SUBSTITUTE(SUBSTITUTE(SUBSTITUTE(SUBSTITUTE(SUBSTITUTE(SUBSTITUTE(SUBSTITUTE(SUBSTITUTE(SUBSTITUTE(SUBSTITUTE(Table1[[#This Row],[Tanggal]],"Jan", "Jan"),"Feb","Feb"),"Mar","Mar"),"Apr","Apr"),"Mei","May"),"Jun","Jun"),"Jul","Jul"),"Agu","Aug"),"Sep","Sep"),"Okt","Oct"),"Nov","Nov"),"Des","Dec"))</f>
        <v>44995</v>
      </c>
      <c r="N14" t="str">
        <f>Table1[[#This Row],[ID_Transaksi]]</f>
        <v>TRX-1013</v>
      </c>
      <c r="O14" s="5" t="str">
        <f>PROPER(TRIM(SUBSTITUTE(Table1[[#This Row],[Nama_Toko]],"""","")))</f>
        <v>Pasar Rame</v>
      </c>
      <c r="P14" s="3" t="str">
        <f>PROPER(TRIM(Table1[[#This Row],[Kategori_Produk]]))</f>
        <v>Pakaian</v>
      </c>
      <c r="Q14" t="str">
        <f>PROPER(TRIM(Table1[Nama Produk]))</f>
        <v>Celana Jeans Biru</v>
      </c>
      <c r="R14">
        <f>Table1[[#This Row],[Qty]]</f>
        <v>1</v>
      </c>
      <c r="S14" t="str">
        <f>SUBSTITUTE(SUBSTITUTE(Table1[[#This Row],[Harga_Satuan]],"Rp.",""),".","")</f>
        <v>350000</v>
      </c>
      <c r="T14">
        <f>Table1[[#This Row],[Total_Penjualan]]</f>
        <v>350000</v>
      </c>
      <c r="U14" t="str">
        <f>PROPER(Table1[[#This Row],[Kota]])</f>
        <v>Yogyakarta</v>
      </c>
      <c r="V14" t="str">
        <f>PROPER(Table1[[#This Row],[Metode_Pembayaran]])</f>
        <v>Kartu Kredit</v>
      </c>
    </row>
    <row r="15" spans="1:22" x14ac:dyDescent="0.25">
      <c r="A15" s="8" t="s">
        <v>1318</v>
      </c>
      <c r="B15" s="5" t="s">
        <v>73</v>
      </c>
      <c r="C15" s="5" t="s">
        <v>914</v>
      </c>
      <c r="D15" s="5" t="s">
        <v>901</v>
      </c>
      <c r="E15" s="5" t="s">
        <v>75</v>
      </c>
      <c r="F15" s="5">
        <v>1</v>
      </c>
      <c r="G15" s="5">
        <v>75000</v>
      </c>
      <c r="H15" s="5">
        <v>150000</v>
      </c>
      <c r="I15" s="5" t="s">
        <v>915</v>
      </c>
      <c r="J15" s="6" t="s">
        <v>893</v>
      </c>
      <c r="M15" s="10">
        <f>DATEVALUE(SUBSTITUTE(SUBSTITUTE(SUBSTITUTE(SUBSTITUTE(SUBSTITUTE(SUBSTITUTE(SUBSTITUTE(SUBSTITUTE(SUBSTITUTE(SUBSTITUTE(SUBSTITUTE(SUBSTITUTE(Table1[[#This Row],[Tanggal]],"Jan", "Jan"),"Feb","Feb"),"Mar","Mar"),"Apr","Apr"),"Mei","May"),"Jun","Jun"),"Jul","Jul"),"Agu","Aug"),"Sep","Sep"),"Okt","Oct"),"Nov","Nov"),"Des","Dec"))</f>
        <v>45002</v>
      </c>
      <c r="N15" t="str">
        <f>Table1[[#This Row],[ID_Transaksi]]</f>
        <v>INV-1014</v>
      </c>
      <c r="O15" s="5" t="str">
        <f>PROPER(TRIM(SUBSTITUTE(Table1[[#This Row],[Nama_Toko]],"""","")))</f>
        <v>Grosir Laris</v>
      </c>
      <c r="P15" s="3" t="str">
        <f>PROPER(TRIM(Table1[[#This Row],[Kategori_Produk]]))</f>
        <v>Mainan</v>
      </c>
      <c r="Q15" t="str">
        <f>PROPER(TRIM(Table1[Nama Produk]))</f>
        <v>Boneka Barbie Original</v>
      </c>
      <c r="R15">
        <f>Table1[[#This Row],[Qty]]</f>
        <v>1</v>
      </c>
      <c r="S15" t="str">
        <f>SUBSTITUTE(SUBSTITUTE(Table1[[#This Row],[Harga_Satuan]],"Rp.",""),".","")</f>
        <v>75000</v>
      </c>
      <c r="T15">
        <f>Table1[[#This Row],[Total_Penjualan]]</f>
        <v>150000</v>
      </c>
      <c r="U15" t="str">
        <f>PROPER(Table1[[#This Row],[Kota]])</f>
        <v>Medan</v>
      </c>
      <c r="V15" t="str">
        <f>PROPER(Table1[[#This Row],[Metode_Pembayaran]])</f>
        <v>Tunai</v>
      </c>
    </row>
    <row r="16" spans="1:22" x14ac:dyDescent="0.25">
      <c r="A16" s="7" t="s">
        <v>1319</v>
      </c>
      <c r="B16" s="3" t="s">
        <v>76</v>
      </c>
      <c r="C16" s="3" t="s">
        <v>917</v>
      </c>
      <c r="D16" s="3" t="s">
        <v>12</v>
      </c>
      <c r="E16" s="3" t="s">
        <v>78</v>
      </c>
      <c r="F16" s="3">
        <v>4</v>
      </c>
      <c r="G16" s="3">
        <v>28000</v>
      </c>
      <c r="H16" s="3">
        <v>112000</v>
      </c>
      <c r="I16" s="3" t="s">
        <v>21</v>
      </c>
      <c r="J16" s="4" t="s">
        <v>880</v>
      </c>
      <c r="M16" s="10">
        <f>DATEVALUE(SUBSTITUTE(SUBSTITUTE(SUBSTITUTE(SUBSTITUTE(SUBSTITUTE(SUBSTITUTE(SUBSTITUTE(SUBSTITUTE(SUBSTITUTE(SUBSTITUTE(SUBSTITUTE(SUBSTITUTE(Table1[[#This Row],[Tanggal]],"Jan", "Jan"),"Feb","Feb"),"Mar","Mar"),"Apr","Apr"),"Mei","May"),"Jun","Jun"),"Jul","Jul"),"Agu","Aug"),"Sep","Sep"),"Okt","Oct"),"Nov","Nov"),"Des","Dec"))</f>
        <v>45010</v>
      </c>
      <c r="N16" t="str">
        <f>Table1[[#This Row],[ID_Transaksi]]</f>
        <v>TRX-1015</v>
      </c>
      <c r="O16" s="5" t="str">
        <f>PROPER(TRIM(SUBSTITUTE(Table1[[#This Row],[Nama_Toko]],"""","")))</f>
        <v>Minimarket Cepat</v>
      </c>
      <c r="P16" s="3" t="str">
        <f>PROPER(TRIM(Table1[[#This Row],[Kategori_Produk]]))</f>
        <v>Makanan</v>
      </c>
      <c r="Q16" t="str">
        <f>PROPER(TRIM(Table1[Nama Produk]))</f>
        <v>Sereal Sarapan Kotak</v>
      </c>
      <c r="R16">
        <f>Table1[[#This Row],[Qty]]</f>
        <v>4</v>
      </c>
      <c r="S16" t="str">
        <f>SUBSTITUTE(SUBSTITUTE(Table1[[#This Row],[Harga_Satuan]],"Rp.",""),".","")</f>
        <v>28000</v>
      </c>
      <c r="T16">
        <f>Table1[[#This Row],[Total_Penjualan]]</f>
        <v>112000</v>
      </c>
      <c r="U16" t="str">
        <f>PROPER(Table1[[#This Row],[Kota]])</f>
        <v>Bandung</v>
      </c>
      <c r="V16" t="str">
        <f>PROPER(Table1[[#This Row],[Metode_Pembayaran]])</f>
        <v>Tunai</v>
      </c>
    </row>
    <row r="17" spans="1:22" x14ac:dyDescent="0.25">
      <c r="A17" s="8" t="s">
        <v>1320</v>
      </c>
      <c r="B17" s="5" t="s">
        <v>79</v>
      </c>
      <c r="C17" s="5" t="s">
        <v>918</v>
      </c>
      <c r="D17" s="5" t="s">
        <v>19</v>
      </c>
      <c r="E17" s="5" t="s">
        <v>81</v>
      </c>
      <c r="F17" s="5">
        <v>2</v>
      </c>
      <c r="G17" s="5">
        <v>20000</v>
      </c>
      <c r="H17" s="5">
        <v>40000</v>
      </c>
      <c r="I17" s="5" t="s">
        <v>919</v>
      </c>
      <c r="J17" s="6" t="s">
        <v>884</v>
      </c>
      <c r="M17" s="10">
        <f>DATEVALUE(SUBSTITUTE(SUBSTITUTE(SUBSTITUTE(SUBSTITUTE(SUBSTITUTE(SUBSTITUTE(SUBSTITUTE(SUBSTITUTE(SUBSTITUTE(SUBSTITUTE(SUBSTITUTE(SUBSTITUTE(Table1[[#This Row],[Tanggal]],"Jan", "Jan"),"Feb","Feb"),"Mar","Mar"),"Apr","Apr"),"Mei","May"),"Jun","Jun"),"Jul","Jul"),"Agu","Aug"),"Sep","Sep"),"Okt","Oct"),"Nov","Nov"),"Des","Dec"))</f>
        <v>45017</v>
      </c>
      <c r="N17" t="str">
        <f>Table1[[#This Row],[ID_Transaksi]]</f>
        <v>INV-1016</v>
      </c>
      <c r="O17" s="5" t="str">
        <f>PROPER(TRIM(SUBSTITUTE(Table1[[#This Row],[Nama_Toko]],"""","")))</f>
        <v>Toko Murni</v>
      </c>
      <c r="P17" s="3" t="str">
        <f>PROPER(TRIM(Table1[[#This Row],[Kategori_Produk]]))</f>
        <v>Minuman</v>
      </c>
      <c r="Q17" t="str">
        <f>PROPER(TRIM(Table1[Nama Produk]))</f>
        <v>Jus Buah Segar 1L</v>
      </c>
      <c r="R17">
        <f>Table1[[#This Row],[Qty]]</f>
        <v>2</v>
      </c>
      <c r="S17" t="str">
        <f>SUBSTITUTE(SUBSTITUTE(Table1[[#This Row],[Harga_Satuan]],"Rp.",""),".","")</f>
        <v>20000</v>
      </c>
      <c r="T17">
        <f>Table1[[#This Row],[Total_Penjualan]]</f>
        <v>40000</v>
      </c>
      <c r="U17" t="str">
        <f>PROPER(Table1[[#This Row],[Kota]])</f>
        <v>Semarang</v>
      </c>
      <c r="V17" t="str">
        <f>PROPER(Table1[[#This Row],[Metode_Pembayaran]])</f>
        <v>Kartu Debit</v>
      </c>
    </row>
    <row r="18" spans="1:22" x14ac:dyDescent="0.25">
      <c r="A18" s="7" t="s">
        <v>1321</v>
      </c>
      <c r="B18" s="3" t="s">
        <v>82</v>
      </c>
      <c r="C18" s="3" t="s">
        <v>920</v>
      </c>
      <c r="D18" s="3" t="s">
        <v>886</v>
      </c>
      <c r="E18" s="3" t="s">
        <v>921</v>
      </c>
      <c r="F18" s="3">
        <v>5</v>
      </c>
      <c r="G18" s="3">
        <v>15000</v>
      </c>
      <c r="H18" s="3">
        <v>75000</v>
      </c>
      <c r="I18" s="3" t="s">
        <v>28</v>
      </c>
      <c r="J18" s="4" t="s">
        <v>888</v>
      </c>
      <c r="M18" s="10">
        <f>DATEVALUE(SUBSTITUTE(SUBSTITUTE(SUBSTITUTE(SUBSTITUTE(SUBSTITUTE(SUBSTITUTE(SUBSTITUTE(SUBSTITUTE(SUBSTITUTE(SUBSTITUTE(SUBSTITUTE(SUBSTITUTE(Table1[[#This Row],[Tanggal]],"Jan", "Jan"),"Feb","Feb"),"Mar","Mar"),"Apr","Apr"),"Mei","May"),"Jun","Jun"),"Jul","Jul"),"Agu","Aug"),"Sep","Sep"),"Okt","Oct"),"Nov","Nov"),"Des","Dec"))</f>
        <v>45026</v>
      </c>
      <c r="N18" t="str">
        <f>Table1[[#This Row],[ID_Transaksi]]</f>
        <v>TRX-1017</v>
      </c>
      <c r="O18" s="5" t="str">
        <f>PROPER(TRIM(SUBSTITUTE(Table1[[#This Row],[Nama_Toko]],"""","")))</f>
        <v>Warung Santai</v>
      </c>
      <c r="P18" s="3" t="str">
        <f>PROPER(TRIM(Table1[[#This Row],[Kategori_Produk]]))</f>
        <v>Elektronik</v>
      </c>
      <c r="Q18" t="str">
        <f>PROPER(TRIM(Table1[Nama Produk]))</f>
        <v>Kabel Data Usb C</v>
      </c>
      <c r="R18">
        <f>Table1[[#This Row],[Qty]]</f>
        <v>5</v>
      </c>
      <c r="S18" t="str">
        <f>SUBSTITUTE(SUBSTITUTE(Table1[[#This Row],[Harga_Satuan]],"Rp.",""),".","")</f>
        <v>15000</v>
      </c>
      <c r="T18">
        <f>Table1[[#This Row],[Total_Penjualan]]</f>
        <v>75000</v>
      </c>
      <c r="U18" t="str">
        <f>PROPER(Table1[[#This Row],[Kota]])</f>
        <v>Surabaya</v>
      </c>
      <c r="V18" t="str">
        <f>PROPER(Table1[[#This Row],[Metode_Pembayaran]])</f>
        <v>Kartu Kredit</v>
      </c>
    </row>
    <row r="19" spans="1:22" x14ac:dyDescent="0.25">
      <c r="A19" s="8" t="s">
        <v>1322</v>
      </c>
      <c r="B19" s="5" t="s">
        <v>85</v>
      </c>
      <c r="C19" s="5" t="s">
        <v>922</v>
      </c>
      <c r="D19" s="5" t="s">
        <v>890</v>
      </c>
      <c r="E19" s="5" t="s">
        <v>87</v>
      </c>
      <c r="F19" s="5">
        <v>1</v>
      </c>
      <c r="G19" s="5">
        <v>55000</v>
      </c>
      <c r="H19" s="5">
        <v>55000</v>
      </c>
      <c r="I19" s="5" t="s">
        <v>923</v>
      </c>
      <c r="J19" s="6" t="s">
        <v>893</v>
      </c>
      <c r="M19" s="10">
        <f>DATEVALUE(SUBSTITUTE(SUBSTITUTE(SUBSTITUTE(SUBSTITUTE(SUBSTITUTE(SUBSTITUTE(SUBSTITUTE(SUBSTITUTE(SUBSTITUTE(SUBSTITUTE(SUBSTITUTE(SUBSTITUTE(Table1[[#This Row],[Tanggal]],"Jan", "Jan"),"Feb","Feb"),"Mar","Mar"),"Apr","Apr"),"Mei","May"),"Jun","Jun"),"Jul","Jul"),"Agu","Aug"),"Sep","Sep"),"Okt","Oct"),"Nov","Nov"),"Des","Dec"))</f>
        <v>45036</v>
      </c>
      <c r="N19" t="str">
        <f>Table1[[#This Row],[ID_Transaksi]]</f>
        <v>INV-1018</v>
      </c>
      <c r="O19" s="5" t="str">
        <f>PROPER(TRIM(SUBSTITUTE(Table1[[#This Row],[Nama_Toko]],"""","")))</f>
        <v>Gudang Besar</v>
      </c>
      <c r="P19" s="3" t="str">
        <f>PROPER(TRIM(Table1[[#This Row],[Kategori_Produk]]))</f>
        <v>Kecantikan</v>
      </c>
      <c r="Q19" t="str">
        <f>PROPER(TRIM(Table1[Nama Produk]))</f>
        <v>Lipstik Warna Merah</v>
      </c>
      <c r="R19">
        <f>Table1[[#This Row],[Qty]]</f>
        <v>1</v>
      </c>
      <c r="S19" t="str">
        <f>SUBSTITUTE(SUBSTITUTE(Table1[[#This Row],[Harga_Satuan]],"Rp.",""),".","")</f>
        <v>55000</v>
      </c>
      <c r="T19">
        <f>Table1[[#This Row],[Total_Penjualan]]</f>
        <v>55000</v>
      </c>
      <c r="U19" t="str">
        <f>PROPER(Table1[[#This Row],[Kota]])</f>
        <v>Denpasar</v>
      </c>
      <c r="V19" t="str">
        <f>PROPER(Table1[[#This Row],[Metode_Pembayaran]])</f>
        <v>Tunai</v>
      </c>
    </row>
    <row r="20" spans="1:22" x14ac:dyDescent="0.25">
      <c r="A20" s="7" t="s">
        <v>916</v>
      </c>
      <c r="B20" s="3" t="s">
        <v>88</v>
      </c>
      <c r="C20" s="3" t="s">
        <v>922</v>
      </c>
      <c r="D20" s="3" t="s">
        <v>895</v>
      </c>
      <c r="E20" s="3" t="s">
        <v>924</v>
      </c>
      <c r="F20" s="3">
        <v>10</v>
      </c>
      <c r="G20" s="3">
        <v>11000</v>
      </c>
      <c r="H20" s="3">
        <v>110000</v>
      </c>
      <c r="I20" s="3" t="s">
        <v>14</v>
      </c>
      <c r="J20" s="4" t="s">
        <v>884</v>
      </c>
      <c r="M20" s="10">
        <f>DATEVALUE(SUBSTITUTE(SUBSTITUTE(SUBSTITUTE(SUBSTITUTE(SUBSTITUTE(SUBSTITUTE(SUBSTITUTE(SUBSTITUTE(SUBSTITUTE(SUBSTITUTE(SUBSTITUTE(SUBSTITUTE(Table1[[#This Row],[Tanggal]],"Jan", "Jan"),"Feb","Feb"),"Mar","Mar"),"Apr","Apr"),"Mei","May"),"Jun","Jun"),"Jul","Jul"),"Agu","Aug"),"Sep","Sep"),"Okt","Oct"),"Nov","Nov"),"Des","Dec"))</f>
        <v>45047</v>
      </c>
      <c r="N20" t="str">
        <f>Table1[[#This Row],[ID_Transaksi]]</f>
        <v>TRX-1019</v>
      </c>
      <c r="O20" s="5" t="str">
        <f>PROPER(TRIM(SUBSTITUTE(Table1[[#This Row],[Nama_Toko]],"""","")))</f>
        <v>Gudang Besar</v>
      </c>
      <c r="P20" s="3" t="str">
        <f>PROPER(TRIM(Table1[[#This Row],[Kategori_Produk]]))</f>
        <v>Makanan</v>
      </c>
      <c r="Q20" t="str">
        <f>PROPER(TRIM(Table1[Nama Produk]))</f>
        <v>Tepung Terigu 1 Kg</v>
      </c>
      <c r="R20">
        <f>Table1[[#This Row],[Qty]]</f>
        <v>10</v>
      </c>
      <c r="S20" t="str">
        <f>SUBSTITUTE(SUBSTITUTE(Table1[[#This Row],[Harga_Satuan]],"Rp.",""),".","")</f>
        <v>11000</v>
      </c>
      <c r="T20">
        <f>Table1[[#This Row],[Total_Penjualan]]</f>
        <v>110000</v>
      </c>
      <c r="U20" t="str">
        <f>PROPER(Table1[[#This Row],[Kota]])</f>
        <v>Jakarta</v>
      </c>
      <c r="V20" t="str">
        <f>PROPER(Table1[[#This Row],[Metode_Pembayaran]])</f>
        <v>Kartu Debit</v>
      </c>
    </row>
    <row r="21" spans="1:22" x14ac:dyDescent="0.25">
      <c r="A21" s="8" t="s">
        <v>1323</v>
      </c>
      <c r="B21" s="5" t="s">
        <v>90</v>
      </c>
      <c r="C21" s="5" t="s">
        <v>925</v>
      </c>
      <c r="D21" s="5" t="s">
        <v>43</v>
      </c>
      <c r="E21" s="5" t="s">
        <v>92</v>
      </c>
      <c r="F21" s="5">
        <v>3</v>
      </c>
      <c r="G21" s="5">
        <v>120000</v>
      </c>
      <c r="H21" s="5">
        <v>360000</v>
      </c>
      <c r="I21" s="5" t="s">
        <v>899</v>
      </c>
      <c r="J21" s="6" t="s">
        <v>880</v>
      </c>
      <c r="M21" s="10">
        <f>DATEVALUE(SUBSTITUTE(SUBSTITUTE(SUBSTITUTE(SUBSTITUTE(SUBSTITUTE(SUBSTITUTE(SUBSTITUTE(SUBSTITUTE(SUBSTITUTE(SUBSTITUTE(SUBSTITUTE(SUBSTITUTE(Table1[[#This Row],[Tanggal]],"Jan", "Jan"),"Feb","Feb"),"Mar","Mar"),"Apr","Apr"),"Mei","May"),"Jun","Jun"),"Jul","Jul"),"Agu","Aug"),"Sep","Sep"),"Okt","Oct"),"Nov","Nov"),"Des","Dec"))</f>
        <v>45056</v>
      </c>
      <c r="N21" t="str">
        <f>Table1[[#This Row],[ID_Transaksi]]</f>
        <v>INV-1020</v>
      </c>
      <c r="O21" s="5" t="str">
        <f>PROPER(TRIM(SUBSTITUTE(Table1[[#This Row],[Nama_Toko]],"""","")))</f>
        <v>Pasar Pagi</v>
      </c>
      <c r="P21" s="3" t="str">
        <f>PROPER(TRIM(Table1[[#This Row],[Kategori_Produk]]))</f>
        <v>Pakaian</v>
      </c>
      <c r="Q21" t="str">
        <f>PROPER(TRIM(Table1[Nama Produk]))</f>
        <v>Kemeja Batik Lengan Panjang</v>
      </c>
      <c r="R21">
        <f>Table1[[#This Row],[Qty]]</f>
        <v>3</v>
      </c>
      <c r="S21" t="str">
        <f>SUBSTITUTE(SUBSTITUTE(Table1[[#This Row],[Harga_Satuan]],"Rp.",""),".","")</f>
        <v>120000</v>
      </c>
      <c r="T21">
        <f>Table1[[#This Row],[Total_Penjualan]]</f>
        <v>360000</v>
      </c>
      <c r="U21" t="str">
        <f>PROPER(Table1[[#This Row],[Kota]])</f>
        <v>Medan</v>
      </c>
      <c r="V21" t="str">
        <f>PROPER(Table1[[#This Row],[Metode_Pembayaran]])</f>
        <v>Tunai</v>
      </c>
    </row>
    <row r="22" spans="1:22" x14ac:dyDescent="0.25">
      <c r="A22" s="7" t="s">
        <v>1324</v>
      </c>
      <c r="B22" s="3" t="s">
        <v>94</v>
      </c>
      <c r="C22" s="3" t="s">
        <v>926</v>
      </c>
      <c r="D22" s="3" t="s">
        <v>901</v>
      </c>
      <c r="E22" s="3" t="s">
        <v>96</v>
      </c>
      <c r="F22" s="3">
        <v>2</v>
      </c>
      <c r="G22" s="3">
        <v>45000</v>
      </c>
      <c r="H22" s="3">
        <v>90000</v>
      </c>
      <c r="I22" s="3" t="s">
        <v>913</v>
      </c>
      <c r="J22" s="4" t="s">
        <v>29</v>
      </c>
      <c r="M22" s="10">
        <f>DATEVALUE(SUBSTITUTE(SUBSTITUTE(SUBSTITUTE(SUBSTITUTE(SUBSTITUTE(SUBSTITUTE(SUBSTITUTE(SUBSTITUTE(SUBSTITUTE(SUBSTITUTE(SUBSTITUTE(SUBSTITUTE(Table1[[#This Row],[Tanggal]],"Jan", "Jan"),"Feb","Feb"),"Mar","Mar"),"Apr","Apr"),"Mei","May"),"Jun","Jun"),"Jul","Jul"),"Agu","Aug"),"Sep","Sep"),"Okt","Oct"),"Nov","Nov"),"Des","Dec"))</f>
        <v>45067</v>
      </c>
      <c r="N22" t="str">
        <f>Table1[[#This Row],[ID_Transaksi]]</f>
        <v>TRX-1021</v>
      </c>
      <c r="O22" s="5" t="str">
        <f>PROPER(TRIM(SUBSTITUTE(Table1[[#This Row],[Nama_Toko]],"""","")))</f>
        <v>Minimarket Istimewa</v>
      </c>
      <c r="P22" s="3" t="str">
        <f>PROPER(TRIM(Table1[[#This Row],[Kategori_Produk]]))</f>
        <v>Mainan</v>
      </c>
      <c r="Q22" t="str">
        <f>PROPER(TRIM(Table1[Nama Produk]))</f>
        <v>Puzzle Kayu Edukasi</v>
      </c>
      <c r="R22">
        <f>Table1[[#This Row],[Qty]]</f>
        <v>2</v>
      </c>
      <c r="S22" t="str">
        <f>SUBSTITUTE(SUBSTITUTE(Table1[[#This Row],[Harga_Satuan]],"Rp.",""),".","")</f>
        <v>45000</v>
      </c>
      <c r="T22">
        <f>Table1[[#This Row],[Total_Penjualan]]</f>
        <v>90000</v>
      </c>
      <c r="U22" t="str">
        <f>PROPER(Table1[[#This Row],[Kota]])</f>
        <v>Yogyakarta</v>
      </c>
      <c r="V22" t="str">
        <f>PROPER(Table1[[#This Row],[Metode_Pembayaran]])</f>
        <v>Kartu Kredit</v>
      </c>
    </row>
    <row r="23" spans="1:22" x14ac:dyDescent="0.25">
      <c r="A23" s="8" t="s">
        <v>1325</v>
      </c>
      <c r="B23" s="5" t="s">
        <v>97</v>
      </c>
      <c r="C23" s="5" t="s">
        <v>927</v>
      </c>
      <c r="D23" s="5" t="s">
        <v>12</v>
      </c>
      <c r="E23" s="5" t="s">
        <v>99</v>
      </c>
      <c r="F23" s="5">
        <v>12</v>
      </c>
      <c r="G23" s="5">
        <v>20000</v>
      </c>
      <c r="H23" s="5">
        <v>240000</v>
      </c>
      <c r="I23" s="5" t="s">
        <v>67</v>
      </c>
      <c r="J23" s="6" t="s">
        <v>893</v>
      </c>
      <c r="M23" s="10">
        <f>DATEVALUE(SUBSTITUTE(SUBSTITUTE(SUBSTITUTE(SUBSTITUTE(SUBSTITUTE(SUBSTITUTE(SUBSTITUTE(SUBSTITUTE(SUBSTITUTE(SUBSTITUTE(SUBSTITUTE(SUBSTITUTE(Table1[[#This Row],[Tanggal]],"Jan", "Jan"),"Feb","Feb"),"Mar","Mar"),"Apr","Apr"),"Mei","May"),"Jun","Jun"),"Jul","Jul"),"Agu","Aug"),"Sep","Sep"),"Okt","Oct"),"Nov","Nov"),"Des","Dec"))</f>
        <v>45078</v>
      </c>
      <c r="N23" t="str">
        <f>Table1[[#This Row],[ID_Transaksi]]</f>
        <v>INV-1022</v>
      </c>
      <c r="O23" s="5" t="str">
        <f>PROPER(TRIM(SUBSTITUTE(Table1[[#This Row],[Nama_Toko]],"""","")))</f>
        <v>Toko Serba Ada</v>
      </c>
      <c r="P23" s="3" t="str">
        <f>PROPER(TRIM(Table1[[#This Row],[Kategori_Produk]]))</f>
        <v>Makanan</v>
      </c>
      <c r="Q23" t="str">
        <f>PROPER(TRIM(Table1[Nama Produk]))</f>
        <v>Telur Ayam Ras Pack 10</v>
      </c>
      <c r="R23">
        <f>Table1[[#This Row],[Qty]]</f>
        <v>12</v>
      </c>
      <c r="S23" t="str">
        <f>SUBSTITUTE(SUBSTITUTE(Table1[[#This Row],[Harga_Satuan]],"Rp.",""),".","")</f>
        <v>20000</v>
      </c>
      <c r="T23">
        <f>Table1[[#This Row],[Total_Penjualan]]</f>
        <v>240000</v>
      </c>
      <c r="U23" t="str">
        <f>PROPER(Table1[[#This Row],[Kota]])</f>
        <v>Malang</v>
      </c>
      <c r="V23" t="str">
        <f>PROPER(Table1[[#This Row],[Metode_Pembayaran]])</f>
        <v>Tunai</v>
      </c>
    </row>
    <row r="24" spans="1:22" x14ac:dyDescent="0.25">
      <c r="A24" s="7" t="s">
        <v>1326</v>
      </c>
      <c r="B24" s="3" t="s">
        <v>100</v>
      </c>
      <c r="C24" s="3" t="s">
        <v>928</v>
      </c>
      <c r="D24" s="3" t="s">
        <v>19</v>
      </c>
      <c r="E24" s="3" t="s">
        <v>929</v>
      </c>
      <c r="F24" s="3">
        <v>7</v>
      </c>
      <c r="G24" s="3">
        <v>17500</v>
      </c>
      <c r="H24" s="3">
        <v>122500</v>
      </c>
      <c r="I24" s="3" t="s">
        <v>21</v>
      </c>
      <c r="J24" s="4" t="s">
        <v>884</v>
      </c>
      <c r="M24" s="10">
        <f>DATEVALUE(SUBSTITUTE(SUBSTITUTE(SUBSTITUTE(SUBSTITUTE(SUBSTITUTE(SUBSTITUTE(SUBSTITUTE(SUBSTITUTE(SUBSTITUTE(SUBSTITUTE(SUBSTITUTE(SUBSTITUTE(Table1[[#This Row],[Tanggal]],"Jan", "Jan"),"Feb","Feb"),"Mar","Mar"),"Apr","Apr"),"Mei","May"),"Jun","Jun"),"Jul","Jul"),"Agu","Aug"),"Sep","Sep"),"Okt","Oct"),"Nov","Nov"),"Des","Dec"))</f>
        <v>45087</v>
      </c>
      <c r="N24" t="str">
        <f>Table1[[#This Row],[ID_Transaksi]]</f>
        <v>TRX-1023</v>
      </c>
      <c r="O24" s="5" t="str">
        <f>PROPER(TRIM(SUBSTITUTE(Table1[[#This Row],[Nama_Toko]],"""","")))</f>
        <v>Grosir Murah Banget</v>
      </c>
      <c r="P24" s="3" t="str">
        <f>PROPER(TRIM(Table1[[#This Row],[Kategori_Produk]]))</f>
        <v>Minuman</v>
      </c>
      <c r="Q24" t="str">
        <f>PROPER(TRIM(Table1[Nama Produk]))</f>
        <v>Susu Uht Full Cream 1L</v>
      </c>
      <c r="R24">
        <f>Table1[[#This Row],[Qty]]</f>
        <v>7</v>
      </c>
      <c r="S24" t="str">
        <f>SUBSTITUTE(SUBSTITUTE(Table1[[#This Row],[Harga_Satuan]],"Rp.",""),".","")</f>
        <v>17500</v>
      </c>
      <c r="T24">
        <f>Table1[[#This Row],[Total_Penjualan]]</f>
        <v>122500</v>
      </c>
      <c r="U24" t="str">
        <f>PROPER(Table1[[#This Row],[Kota]])</f>
        <v>Bandung</v>
      </c>
      <c r="V24" t="str">
        <f>PROPER(Table1[[#This Row],[Metode_Pembayaran]])</f>
        <v>Kartu Debit</v>
      </c>
    </row>
    <row r="25" spans="1:22" x14ac:dyDescent="0.25">
      <c r="A25" s="8" t="s">
        <v>1327</v>
      </c>
      <c r="B25" s="5" t="s">
        <v>103</v>
      </c>
      <c r="C25" s="5" t="s">
        <v>930</v>
      </c>
      <c r="D25" s="5" t="s">
        <v>886</v>
      </c>
      <c r="E25" s="5" t="s">
        <v>931</v>
      </c>
      <c r="F25" s="5">
        <v>1</v>
      </c>
      <c r="G25" s="5">
        <v>150000</v>
      </c>
      <c r="H25" s="5">
        <v>150000</v>
      </c>
      <c r="I25" s="5" t="s">
        <v>932</v>
      </c>
      <c r="J25" s="6" t="s">
        <v>888</v>
      </c>
      <c r="M25" s="10">
        <f>DATEVALUE(SUBSTITUTE(SUBSTITUTE(SUBSTITUTE(SUBSTITUTE(SUBSTITUTE(SUBSTITUTE(SUBSTITUTE(SUBSTITUTE(SUBSTITUTE(SUBSTITUTE(SUBSTITUTE(SUBSTITUTE(Table1[[#This Row],[Tanggal]],"Jan", "Jan"),"Feb","Feb"),"Mar","Mar"),"Apr","Apr"),"Mei","May"),"Jun","Jun"),"Jul","Jul"),"Agu","Aug"),"Sep","Sep"),"Okt","Oct"),"Nov","Nov"),"Des","Dec"))</f>
        <v>45097</v>
      </c>
      <c r="N25" t="str">
        <f>Table1[[#This Row],[ID_Transaksi]]</f>
        <v>INV-1024</v>
      </c>
      <c r="O25" s="5" t="str">
        <f>PROPER(TRIM(SUBSTITUTE(Table1[[#This Row],[Nama_Toko]],"""","")))</f>
        <v>Warung Pojok</v>
      </c>
      <c r="P25" s="3" t="str">
        <f>PROPER(TRIM(Table1[[#This Row],[Kategori_Produk]]))</f>
        <v>Elektronik</v>
      </c>
      <c r="Q25" t="str">
        <f>PROPER(TRIM(Table1[Nama Produk]))</f>
        <v>Power Bank 10000Mah</v>
      </c>
      <c r="R25">
        <f>Table1[[#This Row],[Qty]]</f>
        <v>1</v>
      </c>
      <c r="S25" t="str">
        <f>SUBSTITUTE(SUBSTITUTE(Table1[[#This Row],[Harga_Satuan]],"Rp.",""),".","")</f>
        <v>150000</v>
      </c>
      <c r="T25">
        <f>Table1[[#This Row],[Total_Penjualan]]</f>
        <v>150000</v>
      </c>
      <c r="U25" t="str">
        <f>PROPER(Table1[[#This Row],[Kota]])</f>
        <v>Semarang</v>
      </c>
      <c r="V25" t="str">
        <f>PROPER(Table1[[#This Row],[Metode_Pembayaran]])</f>
        <v>Kartu Kredit</v>
      </c>
    </row>
    <row r="26" spans="1:22" x14ac:dyDescent="0.25">
      <c r="A26" s="7" t="s">
        <v>1328</v>
      </c>
      <c r="B26" s="3" t="s">
        <v>106</v>
      </c>
      <c r="C26" s="3" t="s">
        <v>934</v>
      </c>
      <c r="D26" s="3" t="s">
        <v>890</v>
      </c>
      <c r="E26" s="3" t="s">
        <v>108</v>
      </c>
      <c r="F26" s="3">
        <v>3</v>
      </c>
      <c r="G26" s="3">
        <v>40000</v>
      </c>
      <c r="H26" s="3">
        <v>120000</v>
      </c>
      <c r="I26" s="3" t="s">
        <v>28</v>
      </c>
      <c r="J26" s="4" t="s">
        <v>893</v>
      </c>
      <c r="M26" s="10">
        <f>DATEVALUE(SUBSTITUTE(SUBSTITUTE(SUBSTITUTE(SUBSTITUTE(SUBSTITUTE(SUBSTITUTE(SUBSTITUTE(SUBSTITUTE(SUBSTITUTE(SUBSTITUTE(SUBSTITUTE(SUBSTITUTE(Table1[[#This Row],[Tanggal]],"Jan", "Jan"),"Feb","Feb"),"Mar","Mar"),"Apr","Apr"),"Mei","May"),"Jun","Jun"),"Jul","Jul"),"Agu","Aug"),"Sep","Sep"),"Okt","Oct"),"Nov","Nov"),"Des","Dec"))</f>
        <v>45108</v>
      </c>
      <c r="N26" t="str">
        <f>Table1[[#This Row],[ID_Transaksi]]</f>
        <v>TRX-1025</v>
      </c>
      <c r="O26" s="5" t="str">
        <f>PROPER(TRIM(SUBSTITUTE(Table1[[#This Row],[Nama_Toko]],"""","")))</f>
        <v>Gudang Cepat</v>
      </c>
      <c r="P26" s="3" t="str">
        <f>PROPER(TRIM(Table1[[#This Row],[Kategori_Produk]]))</f>
        <v>Kecantikan</v>
      </c>
      <c r="Q26" t="str">
        <f>PROPER(TRIM(Table1[Nama Produk]))</f>
        <v>Pelembab Wajah Siang</v>
      </c>
      <c r="R26">
        <f>Table1[[#This Row],[Qty]]</f>
        <v>3</v>
      </c>
      <c r="S26" t="str">
        <f>SUBSTITUTE(SUBSTITUTE(Table1[[#This Row],[Harga_Satuan]],"Rp.",""),".","")</f>
        <v>40000</v>
      </c>
      <c r="T26">
        <f>Table1[[#This Row],[Total_Penjualan]]</f>
        <v>120000</v>
      </c>
      <c r="U26" t="str">
        <f>PROPER(Table1[[#This Row],[Kota]])</f>
        <v>Surabaya</v>
      </c>
      <c r="V26" t="str">
        <f>PROPER(Table1[[#This Row],[Metode_Pembayaran]])</f>
        <v>Tunai</v>
      </c>
    </row>
    <row r="27" spans="1:22" x14ac:dyDescent="0.25">
      <c r="A27" s="8" t="s">
        <v>1329</v>
      </c>
      <c r="B27" s="5" t="s">
        <v>109</v>
      </c>
      <c r="C27" s="5" t="s">
        <v>935</v>
      </c>
      <c r="D27" s="5" t="s">
        <v>895</v>
      </c>
      <c r="E27" s="5" t="s">
        <v>936</v>
      </c>
      <c r="F27" s="5">
        <v>9</v>
      </c>
      <c r="G27" s="5">
        <v>13500</v>
      </c>
      <c r="H27" s="5">
        <v>121500</v>
      </c>
      <c r="I27" s="5" t="s">
        <v>937</v>
      </c>
      <c r="J27" s="6" t="s">
        <v>884</v>
      </c>
      <c r="M27" s="10">
        <f>DATEVALUE(SUBSTITUTE(SUBSTITUTE(SUBSTITUTE(SUBSTITUTE(SUBSTITUTE(SUBSTITUTE(SUBSTITUTE(SUBSTITUTE(SUBSTITUTE(SUBSTITUTE(SUBSTITUTE(SUBSTITUTE(Table1[[#This Row],[Tanggal]],"Jan", "Jan"),"Feb","Feb"),"Mar","Mar"),"Apr","Apr"),"Mei","May"),"Jun","Jun"),"Jul","Jul"),"Agu","Aug"),"Sep","Sep"),"Okt","Oct"),"Nov","Nov"),"Des","Dec"))</f>
        <v>45122</v>
      </c>
      <c r="N27" t="str">
        <f>Table1[[#This Row],[ID_Transaksi]]</f>
        <v>INV-1026</v>
      </c>
      <c r="O27" s="5" t="str">
        <f>PROPER(TRIM(SUBSTITUTE(Table1[[#This Row],[Nama_Toko]],"""","")))</f>
        <v>Toko Lengkap</v>
      </c>
      <c r="P27" s="3" t="str">
        <f>PROPER(TRIM(Table1[[#This Row],[Kategori_Produk]]))</f>
        <v>Makanan</v>
      </c>
      <c r="Q27" t="str">
        <f>PROPER(TRIM(Table1[Nama Produk]))</f>
        <v>Gula Pasir 1 Kg</v>
      </c>
      <c r="R27">
        <f>Table1[[#This Row],[Qty]]</f>
        <v>9</v>
      </c>
      <c r="S27" t="str">
        <f>SUBSTITUTE(SUBSTITUTE(Table1[[#This Row],[Harga_Satuan]],"Rp.",""),".","")</f>
        <v>13500</v>
      </c>
      <c r="T27">
        <f>Table1[[#This Row],[Total_Penjualan]]</f>
        <v>121500</v>
      </c>
      <c r="U27" t="str">
        <f>PROPER(Table1[[#This Row],[Kota]])</f>
        <v>Depok</v>
      </c>
      <c r="V27" t="str">
        <f>PROPER(Table1[[#This Row],[Metode_Pembayaran]])</f>
        <v>Kartu Debit</v>
      </c>
    </row>
    <row r="28" spans="1:22" x14ac:dyDescent="0.25">
      <c r="A28" s="7" t="s">
        <v>1330</v>
      </c>
      <c r="B28" s="3" t="s">
        <v>112</v>
      </c>
      <c r="C28" s="3" t="s">
        <v>938</v>
      </c>
      <c r="D28" s="3" t="s">
        <v>43</v>
      </c>
      <c r="E28" s="3" t="s">
        <v>114</v>
      </c>
      <c r="F28" s="3">
        <v>1</v>
      </c>
      <c r="G28" s="3">
        <v>450000</v>
      </c>
      <c r="H28" s="3">
        <v>450000</v>
      </c>
      <c r="I28" s="3" t="s">
        <v>939</v>
      </c>
      <c r="J28" s="4" t="s">
        <v>880</v>
      </c>
      <c r="M28" s="10">
        <f>DATEVALUE(SUBSTITUTE(SUBSTITUTE(SUBSTITUTE(SUBSTITUTE(SUBSTITUTE(SUBSTITUTE(SUBSTITUTE(SUBSTITUTE(SUBSTITUTE(SUBSTITUTE(SUBSTITUTE(SUBSTITUTE(Table1[[#This Row],[Tanggal]],"Jan", "Jan"),"Feb","Feb"),"Mar","Mar"),"Apr","Apr"),"Mei","May"),"Jun","Jun"),"Jul","Jul"),"Agu","Aug"),"Sep","Sep"),"Okt","Oct"),"Nov","Nov"),"Des","Dec"))</f>
        <v>45132</v>
      </c>
      <c r="N28" t="str">
        <f>Table1[[#This Row],[ID_Transaksi]]</f>
        <v>TRX-1027</v>
      </c>
      <c r="O28" s="5" t="str">
        <f>PROPER(TRIM(SUBSTITUTE(Table1[[#This Row],[Nama_Toko]],"""","")))</f>
        <v>Pasar Malam</v>
      </c>
      <c r="P28" s="3" t="str">
        <f>PROPER(TRIM(Table1[[#This Row],[Kategori_Produk]]))</f>
        <v>Pakaian</v>
      </c>
      <c r="Q28" t="str">
        <f>PROPER(TRIM(Table1[Nama Produk]))</f>
        <v>Sepatu Sneaker Kasual</v>
      </c>
      <c r="R28">
        <f>Table1[[#This Row],[Qty]]</f>
        <v>1</v>
      </c>
      <c r="S28" t="str">
        <f>SUBSTITUTE(SUBSTITUTE(Table1[[#This Row],[Harga_Satuan]],"Rp.",""),".","")</f>
        <v>450000</v>
      </c>
      <c r="T28">
        <f>Table1[[#This Row],[Total_Penjualan]]</f>
        <v>450000</v>
      </c>
      <c r="U28" t="str">
        <f>PROPER(Table1[[#This Row],[Kota]])</f>
        <v>Jakarta Selatan</v>
      </c>
      <c r="V28" t="str">
        <f>PROPER(Table1[[#This Row],[Metode_Pembayaran]])</f>
        <v>Tunai</v>
      </c>
    </row>
    <row r="29" spans="1:22" x14ac:dyDescent="0.25">
      <c r="A29" s="8" t="s">
        <v>1331</v>
      </c>
      <c r="B29" s="5" t="s">
        <v>116</v>
      </c>
      <c r="C29" s="5" t="s">
        <v>940</v>
      </c>
      <c r="D29" s="5" t="s">
        <v>901</v>
      </c>
      <c r="E29" s="5" t="s">
        <v>941</v>
      </c>
      <c r="F29" s="5">
        <v>4</v>
      </c>
      <c r="G29" s="5">
        <v>60000</v>
      </c>
      <c r="H29" s="5">
        <v>240000</v>
      </c>
      <c r="I29" s="5" t="s">
        <v>45</v>
      </c>
      <c r="J29" s="6" t="s">
        <v>29</v>
      </c>
      <c r="M29" s="10">
        <f>DATEVALUE(SUBSTITUTE(SUBSTITUTE(SUBSTITUTE(SUBSTITUTE(SUBSTITUTE(SUBSTITUTE(SUBSTITUTE(SUBSTITUTE(SUBSTITUTE(SUBSTITUTE(SUBSTITUTE(SUBSTITUTE(Table1[[#This Row],[Tanggal]],"Jan", "Jan"),"Feb","Feb"),"Mar","Mar"),"Apr","Apr"),"Mei","May"),"Jun","Jun"),"Jul","Jul"),"Agu","Aug"),"Sep","Sep"),"Okt","Oct"),"Nov","Nov"),"Des","Dec"))</f>
        <v>45143</v>
      </c>
      <c r="N29" t="str">
        <f>Table1[[#This Row],[ID_Transaksi]]</f>
        <v>INV-1028</v>
      </c>
      <c r="O29" s="5" t="str">
        <f>PROPER(TRIM(SUBSTITUTE(Table1[[#This Row],[Nama_Toko]],"""","")))</f>
        <v>Minimarket Tepat</v>
      </c>
      <c r="P29" s="3" t="str">
        <f>PROPER(TRIM(Table1[[#This Row],[Kategori_Produk]]))</f>
        <v>Mainan</v>
      </c>
      <c r="Q29" t="str">
        <f>PROPER(TRIM(Table1[Nama Produk]))</f>
        <v>Set Mainan Masak-Masakan</v>
      </c>
      <c r="R29">
        <f>Table1[[#This Row],[Qty]]</f>
        <v>4</v>
      </c>
      <c r="S29" t="str">
        <f>SUBSTITUTE(SUBSTITUTE(Table1[[#This Row],[Harga_Satuan]],"Rp.",""),".","")</f>
        <v>60000</v>
      </c>
      <c r="T29">
        <f>Table1[[#This Row],[Total_Penjualan]]</f>
        <v>240000</v>
      </c>
      <c r="U29" t="str">
        <f>PROPER(Table1[[#This Row],[Kota]])</f>
        <v>Medan</v>
      </c>
      <c r="V29" t="str">
        <f>PROPER(Table1[[#This Row],[Metode_Pembayaran]])</f>
        <v>Kartu Kredit</v>
      </c>
    </row>
    <row r="30" spans="1:22" x14ac:dyDescent="0.25">
      <c r="A30" s="7" t="s">
        <v>933</v>
      </c>
      <c r="B30" s="3" t="s">
        <v>120</v>
      </c>
      <c r="C30" s="3" t="s">
        <v>942</v>
      </c>
      <c r="D30" s="3" t="s">
        <v>12</v>
      </c>
      <c r="E30" s="3" t="s">
        <v>122</v>
      </c>
      <c r="F30" s="3">
        <v>5</v>
      </c>
      <c r="G30" s="3">
        <v>18000</v>
      </c>
      <c r="H30" s="3">
        <v>90000</v>
      </c>
      <c r="I30" s="3" t="s">
        <v>913</v>
      </c>
      <c r="J30" s="4" t="s">
        <v>893</v>
      </c>
      <c r="M30" s="10">
        <f>DATEVALUE(SUBSTITUTE(SUBSTITUTE(SUBSTITUTE(SUBSTITUTE(SUBSTITUTE(SUBSTITUTE(SUBSTITUTE(SUBSTITUTE(SUBSTITUTE(SUBSTITUTE(SUBSTITUTE(SUBSTITUTE(Table1[[#This Row],[Tanggal]],"Jan", "Jan"),"Feb","Feb"),"Mar","Mar"),"Apr","Apr"),"Mei","May"),"Jun","Jun"),"Jul","Jul"),"Agu","Aug"),"Sep","Sep"),"Okt","Oct"),"Nov","Nov"),"Des","Dec"))</f>
        <v>45153</v>
      </c>
      <c r="N30" t="str">
        <f>Table1[[#This Row],[ID_Transaksi]]</f>
        <v>TRX-1029</v>
      </c>
      <c r="O30" s="5" t="str">
        <f>PROPER(TRIM(SUBSTITUTE(Table1[[#This Row],[Nama_Toko]],"""","")))</f>
        <v>Toko Bersama</v>
      </c>
      <c r="P30" s="3" t="str">
        <f>PROPER(TRIM(Table1[[#This Row],[Kategori_Produk]]))</f>
        <v>Makanan</v>
      </c>
      <c r="Q30" t="str">
        <f>PROPER(TRIM(Table1[Nama Produk]))</f>
        <v>Roti Tawar Gandum</v>
      </c>
      <c r="R30">
        <f>Table1[[#This Row],[Qty]]</f>
        <v>5</v>
      </c>
      <c r="S30" t="str">
        <f>SUBSTITUTE(SUBSTITUTE(Table1[[#This Row],[Harga_Satuan]],"Rp.",""),".","")</f>
        <v>18000</v>
      </c>
      <c r="T30">
        <f>Table1[[#This Row],[Total_Penjualan]]</f>
        <v>90000</v>
      </c>
      <c r="U30" t="str">
        <f>PROPER(Table1[[#This Row],[Kota]])</f>
        <v>Yogyakarta</v>
      </c>
      <c r="V30" t="str">
        <f>PROPER(Table1[[#This Row],[Metode_Pembayaran]])</f>
        <v>Tunai</v>
      </c>
    </row>
    <row r="31" spans="1:22" x14ac:dyDescent="0.25">
      <c r="A31" s="8" t="s">
        <v>1332</v>
      </c>
      <c r="B31" s="5" t="s">
        <v>124</v>
      </c>
      <c r="C31" s="5" t="s">
        <v>943</v>
      </c>
      <c r="D31" s="5" t="s">
        <v>19</v>
      </c>
      <c r="E31" s="5" t="s">
        <v>944</v>
      </c>
      <c r="F31" s="5">
        <v>15</v>
      </c>
      <c r="G31" s="5">
        <v>10000</v>
      </c>
      <c r="H31" s="5">
        <v>150000</v>
      </c>
      <c r="I31" s="5" t="s">
        <v>67</v>
      </c>
      <c r="J31" s="6" t="s">
        <v>884</v>
      </c>
      <c r="M31" s="10">
        <f>DATEVALUE(SUBSTITUTE(SUBSTITUTE(SUBSTITUTE(SUBSTITUTE(SUBSTITUTE(SUBSTITUTE(SUBSTITUTE(SUBSTITUTE(SUBSTITUTE(SUBSTITUTE(SUBSTITUTE(SUBSTITUTE(Table1[[#This Row],[Tanggal]],"Jan", "Jan"),"Feb","Feb"),"Mar","Mar"),"Apr","Apr"),"Mei","May"),"Jun","Jun"),"Jul","Jul"),"Agu","Aug"),"Sep","Sep"),"Okt","Oct"),"Nov","Nov"),"Des","Dec"))</f>
        <v>45163</v>
      </c>
      <c r="N31" t="str">
        <f>Table1[[#This Row],[ID_Transaksi]]</f>
        <v>INV-1030</v>
      </c>
      <c r="O31" s="5" t="str">
        <f>PROPER(TRIM(SUBSTITUTE(Table1[[#This Row],[Nama_Toko]],"""","")))</f>
        <v>Grosir Hebat</v>
      </c>
      <c r="P31" s="3" t="str">
        <f>PROPER(TRIM(Table1[[#This Row],[Kategori_Produk]]))</f>
        <v>Minuman</v>
      </c>
      <c r="Q31" t="str">
        <f>PROPER(TRIM(Table1[Nama Produk]))</f>
        <v>Kopi Bubuk Hitam 100G</v>
      </c>
      <c r="R31">
        <f>Table1[[#This Row],[Qty]]</f>
        <v>15</v>
      </c>
      <c r="S31" t="str">
        <f>SUBSTITUTE(SUBSTITUTE(Table1[[#This Row],[Harga_Satuan]],"Rp.",""),".","")</f>
        <v>10000</v>
      </c>
      <c r="T31">
        <f>Table1[[#This Row],[Total_Penjualan]]</f>
        <v>150000</v>
      </c>
      <c r="U31" t="str">
        <f>PROPER(Table1[[#This Row],[Kota]])</f>
        <v>Malang</v>
      </c>
      <c r="V31" t="str">
        <f>PROPER(Table1[[#This Row],[Metode_Pembayaran]])</f>
        <v>Kartu Debit</v>
      </c>
    </row>
    <row r="32" spans="1:22" x14ac:dyDescent="0.25">
      <c r="A32" s="7" t="s">
        <v>1333</v>
      </c>
      <c r="B32" s="3" t="s">
        <v>128</v>
      </c>
      <c r="C32" s="3" t="s">
        <v>946</v>
      </c>
      <c r="D32" s="3" t="s">
        <v>886</v>
      </c>
      <c r="E32" s="3" t="s">
        <v>130</v>
      </c>
      <c r="F32" s="3">
        <v>2</v>
      </c>
      <c r="G32" s="3">
        <v>85000</v>
      </c>
      <c r="H32" s="3">
        <v>170000</v>
      </c>
      <c r="I32" s="3" t="s">
        <v>21</v>
      </c>
      <c r="J32" s="4" t="s">
        <v>888</v>
      </c>
      <c r="M32" s="10">
        <f>DATEVALUE(SUBSTITUTE(SUBSTITUTE(SUBSTITUTE(SUBSTITUTE(SUBSTITUTE(SUBSTITUTE(SUBSTITUTE(SUBSTITUTE(SUBSTITUTE(SUBSTITUTE(SUBSTITUTE(SUBSTITUTE(Table1[[#This Row],[Tanggal]],"Jan", "Jan"),"Feb","Feb"),"Mar","Mar"),"Apr","Apr"),"Mei","May"),"Jun","Jun"),"Jul","Jul"),"Agu","Aug"),"Sep","Sep"),"Okt","Oct"),"Nov","Nov"),"Des","Dec"))</f>
        <v>45170</v>
      </c>
      <c r="N32" t="str">
        <f>Table1[[#This Row],[ID_Transaksi]]</f>
        <v>TRX-1031</v>
      </c>
      <c r="O32" s="5" t="str">
        <f>PROPER(TRIM(SUBSTITUTE(Table1[[#This Row],[Nama_Toko]],"""","")))</f>
        <v>Warung Kita</v>
      </c>
      <c r="P32" s="3" t="str">
        <f>PROPER(TRIM(Table1[[#This Row],[Kategori_Produk]]))</f>
        <v>Elektronik</v>
      </c>
      <c r="Q32" t="str">
        <f>PROPER(TRIM(Table1[Nama Produk]))</f>
        <v>Headset Bluetooth</v>
      </c>
      <c r="R32">
        <f>Table1[[#This Row],[Qty]]</f>
        <v>2</v>
      </c>
      <c r="S32" t="str">
        <f>SUBSTITUTE(SUBSTITUTE(Table1[[#This Row],[Harga_Satuan]],"Rp.",""),".","")</f>
        <v>85000</v>
      </c>
      <c r="T32">
        <f>Table1[[#This Row],[Total_Penjualan]]</f>
        <v>170000</v>
      </c>
      <c r="U32" t="str">
        <f>PROPER(Table1[[#This Row],[Kota]])</f>
        <v>Bandung</v>
      </c>
      <c r="V32" t="str">
        <f>PROPER(Table1[[#This Row],[Metode_Pembayaran]])</f>
        <v>Kartu Kredit</v>
      </c>
    </row>
    <row r="33" spans="1:22" x14ac:dyDescent="0.25">
      <c r="A33" s="8" t="s">
        <v>1334</v>
      </c>
      <c r="B33" s="5"/>
      <c r="C33" s="5" t="s">
        <v>947</v>
      </c>
      <c r="D33" s="5" t="s">
        <v>890</v>
      </c>
      <c r="E33" s="5" t="s">
        <v>948</v>
      </c>
      <c r="F33" s="5">
        <v>1</v>
      </c>
      <c r="G33" s="5">
        <v>300000</v>
      </c>
      <c r="H33" s="5">
        <v>300000</v>
      </c>
      <c r="I33" s="5" t="s">
        <v>53</v>
      </c>
      <c r="J33" s="6" t="s">
        <v>893</v>
      </c>
      <c r="M33" s="10">
        <f>DATEVALUE(SUBSTITUTE(SUBSTITUTE(SUBSTITUTE(SUBSTITUTE(SUBSTITUTE(SUBSTITUTE(SUBSTITUTE(SUBSTITUTE(SUBSTITUTE(SUBSTITUTE(SUBSTITUTE(SUBSTITUTE(Table1[[#This Row],[Tanggal]],"Jan", "Jan"),"Feb","Feb"),"Mar","Mar"),"Apr","Apr"),"Mei","May"),"Jun","Jun"),"Jul","Jul"),"Agu","Aug"),"Sep","Sep"),"Okt","Oct"),"Nov","Nov"),"Des","Dec"))</f>
        <v>45179</v>
      </c>
      <c r="N33">
        <f>Table1[[#This Row],[ID_Transaksi]]</f>
        <v>0</v>
      </c>
      <c r="O33" s="5" t="str">
        <f>PROPER(TRIM(SUBSTITUTE(Table1[[#This Row],[Nama_Toko]],"""","")))</f>
        <v>Gudang Kecil</v>
      </c>
      <c r="P33" s="3" t="str">
        <f>PROPER(TRIM(Table1[[#This Row],[Kategori_Produk]]))</f>
        <v>Kecantikan</v>
      </c>
      <c r="Q33" t="str">
        <f>PROPER(TRIM(Table1[Nama Produk]))</f>
        <v>Parfum Wanita Edp 50Ml</v>
      </c>
      <c r="R33">
        <f>Table1[[#This Row],[Qty]]</f>
        <v>1</v>
      </c>
      <c r="S33" t="str">
        <f>SUBSTITUTE(SUBSTITUTE(Table1[[#This Row],[Harga_Satuan]],"Rp.",""),".","")</f>
        <v>300000</v>
      </c>
      <c r="T33">
        <f>Table1[[#This Row],[Total_Penjualan]]</f>
        <v>300000</v>
      </c>
      <c r="U33" t="str">
        <f>PROPER(Table1[[#This Row],[Kota]])</f>
        <v>Semarang</v>
      </c>
      <c r="V33" t="str">
        <f>PROPER(Table1[[#This Row],[Metode_Pembayaran]])</f>
        <v>Tunai</v>
      </c>
    </row>
    <row r="34" spans="1:22" x14ac:dyDescent="0.25">
      <c r="A34" s="7" t="s">
        <v>1335</v>
      </c>
      <c r="B34" s="3" t="s">
        <v>136</v>
      </c>
      <c r="C34" s="3" t="s">
        <v>949</v>
      </c>
      <c r="D34" s="3" t="s">
        <v>895</v>
      </c>
      <c r="E34" s="3" t="s">
        <v>950</v>
      </c>
      <c r="F34" s="3">
        <v>3</v>
      </c>
      <c r="G34" s="3">
        <v>35000</v>
      </c>
      <c r="H34" s="3">
        <v>105000</v>
      </c>
      <c r="I34" s="3" t="s">
        <v>951</v>
      </c>
      <c r="J34" s="4" t="s">
        <v>884</v>
      </c>
      <c r="M34" s="10">
        <f>DATEVALUE(SUBSTITUTE(SUBSTITUTE(SUBSTITUTE(SUBSTITUTE(SUBSTITUTE(SUBSTITUTE(SUBSTITUTE(SUBSTITUTE(SUBSTITUTE(SUBSTITUTE(SUBSTITUTE(SUBSTITUTE(Table1[[#This Row],[Tanggal]],"Jan", "Jan"),"Feb","Feb"),"Mar","Mar"),"Apr","Apr"),"Mei","May"),"Jun","Jun"),"Jul","Jul"),"Agu","Aug"),"Sep","Sep"),"Okt","Oct"),"Nov","Nov"),"Des","Dec"))</f>
        <v>45189</v>
      </c>
      <c r="N34" t="str">
        <f>Table1[[#This Row],[ID_Transaksi]]</f>
        <v>INV-1033</v>
      </c>
      <c r="O34" s="5" t="str">
        <f>PROPER(TRIM(SUBSTITUTE(Table1[[#This Row],[Nama_Toko]],"""","")))</f>
        <v>Toko Maju</v>
      </c>
      <c r="P34" s="3" t="str">
        <f>PROPER(TRIM(Table1[[#This Row],[Kategori_Produk]]))</f>
        <v>Makanan</v>
      </c>
      <c r="Q34" t="str">
        <f>PROPER(TRIM(Table1[Nama Produk]))</f>
        <v>Keju Cheddar Blok</v>
      </c>
      <c r="R34">
        <f>Table1[[#This Row],[Qty]]</f>
        <v>3</v>
      </c>
      <c r="S34" t="str">
        <f>SUBSTITUTE(SUBSTITUTE(Table1[[#This Row],[Harga_Satuan]],"Rp.",""),".","")</f>
        <v>35000</v>
      </c>
      <c r="T34">
        <f>Table1[[#This Row],[Total_Penjualan]]</f>
        <v>105000</v>
      </c>
      <c r="U34" t="str">
        <f>PROPER(Table1[[#This Row],[Kota]])</f>
        <v>Surabaya</v>
      </c>
      <c r="V34" t="str">
        <f>PROPER(Table1[[#This Row],[Metode_Pembayaran]])</f>
        <v>Kartu Debit</v>
      </c>
    </row>
    <row r="35" spans="1:22" x14ac:dyDescent="0.25">
      <c r="A35" s="8" t="s">
        <v>1336</v>
      </c>
      <c r="B35" s="5" t="s">
        <v>140</v>
      </c>
      <c r="C35" s="5" t="s">
        <v>952</v>
      </c>
      <c r="D35" s="5" t="s">
        <v>43</v>
      </c>
      <c r="E35" s="5" t="s">
        <v>142</v>
      </c>
      <c r="F35" s="5">
        <v>6</v>
      </c>
      <c r="G35" s="5">
        <v>70000</v>
      </c>
      <c r="H35" s="5">
        <v>420000</v>
      </c>
      <c r="I35" s="5" t="s">
        <v>953</v>
      </c>
      <c r="J35" s="6" t="s">
        <v>880</v>
      </c>
      <c r="M35" s="10">
        <f>DATEVALUE(SUBSTITUTE(SUBSTITUTE(SUBSTITUTE(SUBSTITUTE(SUBSTITUTE(SUBSTITUTE(SUBSTITUTE(SUBSTITUTE(SUBSTITUTE(SUBSTITUTE(SUBSTITUTE(SUBSTITUTE(Table1[[#This Row],[Tanggal]],"Jan", "Jan"),"Feb","Feb"),"Mar","Mar"),"Apr","Apr"),"Mei","May"),"Jun","Jun"),"Jul","Jul"),"Agu","Aug"),"Sep","Sep"),"Okt","Oct"),"Nov","Nov"),"Des","Dec"))</f>
        <v>45200</v>
      </c>
      <c r="N35" t="str">
        <f>Table1[[#This Row],[ID_Transaksi]]</f>
        <v>TRX-1034</v>
      </c>
      <c r="O35" s="5" t="str">
        <f>PROPER(TRIM(SUBSTITUTE(Table1[[#This Row],[Nama_Toko]],"""","")))</f>
        <v>Pasar Senja</v>
      </c>
      <c r="P35" s="3" t="str">
        <f>PROPER(TRIM(Table1[[#This Row],[Kategori_Produk]]))</f>
        <v>Pakaian</v>
      </c>
      <c r="Q35" t="str">
        <f>PROPER(TRIM(Table1[Nama Produk]))</f>
        <v>Daster Ibu Hamil</v>
      </c>
      <c r="R35">
        <f>Table1[[#This Row],[Qty]]</f>
        <v>6</v>
      </c>
      <c r="S35" t="str">
        <f>SUBSTITUTE(SUBSTITUTE(Table1[[#This Row],[Harga_Satuan]],"Rp.",""),".","")</f>
        <v>70000</v>
      </c>
      <c r="T35">
        <f>Table1[[#This Row],[Total_Penjualan]]</f>
        <v>420000</v>
      </c>
      <c r="U35" t="str">
        <f>PROPER(Table1[[#This Row],[Kota]])</f>
        <v>Denpasar</v>
      </c>
      <c r="V35" t="str">
        <f>PROPER(Table1[[#This Row],[Metode_Pembayaran]])</f>
        <v>Tunai</v>
      </c>
    </row>
    <row r="36" spans="1:22" x14ac:dyDescent="0.25">
      <c r="A36" s="7" t="s">
        <v>945</v>
      </c>
      <c r="B36" s="3" t="s">
        <v>144</v>
      </c>
      <c r="C36" s="3" t="s">
        <v>954</v>
      </c>
      <c r="D36" s="3" t="s">
        <v>901</v>
      </c>
      <c r="E36" s="3" t="s">
        <v>146</v>
      </c>
      <c r="F36" s="3">
        <v>1</v>
      </c>
      <c r="G36" s="3">
        <v>180000</v>
      </c>
      <c r="H36" s="3">
        <v>180000</v>
      </c>
      <c r="I36" s="3" t="s">
        <v>14</v>
      </c>
      <c r="J36" s="4" t="s">
        <v>29</v>
      </c>
      <c r="M36" s="10">
        <f>DATEVALUE(SUBSTITUTE(SUBSTITUTE(SUBSTITUTE(SUBSTITUTE(SUBSTITUTE(SUBSTITUTE(SUBSTITUTE(SUBSTITUTE(SUBSTITUTE(SUBSTITUTE(SUBSTITUTE(SUBSTITUTE(Table1[[#This Row],[Tanggal]],"Jan", "Jan"),"Feb","Feb"),"Mar","Mar"),"Apr","Apr"),"Mei","May"),"Jun","Jun"),"Jul","Jul"),"Agu","Aug"),"Sep","Sep"),"Okt","Oct"),"Nov","Nov"),"Des","Dec"))</f>
        <v>45214</v>
      </c>
      <c r="N36" t="str">
        <f>Table1[[#This Row],[ID_Transaksi]]</f>
        <v>INV-1035</v>
      </c>
      <c r="O36" s="5" t="str">
        <f>PROPER(TRIM(SUBSTITUTE(Table1[[#This Row],[Nama_Toko]],"""","")))</f>
        <v>Minimarket Sinar</v>
      </c>
      <c r="P36" s="3" t="str">
        <f>PROPER(TRIM(Table1[[#This Row],[Kategori_Produk]]))</f>
        <v>Mainan</v>
      </c>
      <c r="Q36" t="str">
        <f>PROPER(TRIM(Table1[Nama Produk]))</f>
        <v>Kolam Renang Karet Anak</v>
      </c>
      <c r="R36">
        <f>Table1[[#This Row],[Qty]]</f>
        <v>1</v>
      </c>
      <c r="S36" t="str">
        <f>SUBSTITUTE(SUBSTITUTE(Table1[[#This Row],[Harga_Satuan]],"Rp.",""),".","")</f>
        <v>180000</v>
      </c>
      <c r="T36">
        <f>Table1[[#This Row],[Total_Penjualan]]</f>
        <v>180000</v>
      </c>
      <c r="U36" t="str">
        <f>PROPER(Table1[[#This Row],[Kota]])</f>
        <v>Jakarta</v>
      </c>
      <c r="V36" t="str">
        <f>PROPER(Table1[[#This Row],[Metode_Pembayaran]])</f>
        <v>Kartu Kredit</v>
      </c>
    </row>
    <row r="37" spans="1:22" x14ac:dyDescent="0.25">
      <c r="A37" s="8" t="s">
        <v>1337</v>
      </c>
      <c r="B37" s="5" t="s">
        <v>147</v>
      </c>
      <c r="C37" s="5" t="s">
        <v>955</v>
      </c>
      <c r="D37" s="5" t="s">
        <v>12</v>
      </c>
      <c r="E37" s="5" t="s">
        <v>149</v>
      </c>
      <c r="F37" s="5">
        <v>10</v>
      </c>
      <c r="G37" s="5">
        <v>25000</v>
      </c>
      <c r="H37" s="5">
        <v>250000</v>
      </c>
      <c r="I37" s="5" t="s">
        <v>915</v>
      </c>
      <c r="J37" s="6" t="s">
        <v>893</v>
      </c>
      <c r="M37" s="10">
        <f>DATEVALUE(SUBSTITUTE(SUBSTITUTE(SUBSTITUTE(SUBSTITUTE(SUBSTITUTE(SUBSTITUTE(SUBSTITUTE(SUBSTITUTE(SUBSTITUTE(SUBSTITUTE(SUBSTITUTE(SUBSTITUTE(Table1[[#This Row],[Tanggal]],"Jan", "Jan"),"Feb","Feb"),"Mar","Mar"),"Apr","Apr"),"Mei","May"),"Jun","Jun"),"Jul","Jul"),"Agu","Aug"),"Sep","Sep"),"Okt","Oct"),"Nov","Nov"),"Des","Dec"))</f>
        <v>45224</v>
      </c>
      <c r="N37" t="str">
        <f>Table1[[#This Row],[ID_Transaksi]]</f>
        <v>TRX-1036</v>
      </c>
      <c r="O37" s="5" t="str">
        <f>PROPER(TRIM(SUBSTITUTE(Table1[[#This Row],[Nama_Toko]],"""","")))</f>
        <v>Toko Bahagia</v>
      </c>
      <c r="P37" s="3" t="str">
        <f>PROPER(TRIM(Table1[[#This Row],[Kategori_Produk]]))</f>
        <v>Makanan</v>
      </c>
      <c r="Q37" t="str">
        <f>PROPER(TRIM(Table1[Nama Produk]))</f>
        <v>Coklat Batangan Import</v>
      </c>
      <c r="R37">
        <f>Table1[[#This Row],[Qty]]</f>
        <v>10</v>
      </c>
      <c r="S37" t="str">
        <f>SUBSTITUTE(SUBSTITUTE(Table1[[#This Row],[Harga_Satuan]],"Rp.",""),".","")</f>
        <v>25000</v>
      </c>
      <c r="T37">
        <f>Table1[[#This Row],[Total_Penjualan]]</f>
        <v>250000</v>
      </c>
      <c r="U37" t="str">
        <f>PROPER(Table1[[#This Row],[Kota]])</f>
        <v>Medan</v>
      </c>
      <c r="V37" t="str">
        <f>PROPER(Table1[[#This Row],[Metode_Pembayaran]])</f>
        <v>Tunai</v>
      </c>
    </row>
    <row r="38" spans="1:22" x14ac:dyDescent="0.25">
      <c r="A38" s="7" t="s">
        <v>1338</v>
      </c>
      <c r="B38" s="3" t="s">
        <v>151</v>
      </c>
      <c r="C38" s="3" t="s">
        <v>957</v>
      </c>
      <c r="D38" s="3" t="s">
        <v>19</v>
      </c>
      <c r="E38" s="3" t="s">
        <v>152</v>
      </c>
      <c r="F38" s="3">
        <v>20</v>
      </c>
      <c r="G38" s="3">
        <v>8000</v>
      </c>
      <c r="H38" s="3">
        <v>160000</v>
      </c>
      <c r="I38" s="3" t="s">
        <v>958</v>
      </c>
      <c r="J38" s="4" t="s">
        <v>884</v>
      </c>
      <c r="M38" s="10">
        <f>DATEVALUE(SUBSTITUTE(SUBSTITUTE(SUBSTITUTE(SUBSTITUTE(SUBSTITUTE(SUBSTITUTE(SUBSTITUTE(SUBSTITUTE(SUBSTITUTE(SUBSTITUTE(SUBSTITUTE(SUBSTITUTE(Table1[[#This Row],[Tanggal]],"Jan", "Jan"),"Feb","Feb"),"Mar","Mar"),"Apr","Apr"),"Mei","May"),"Jun","Jun"),"Jul","Jul"),"Agu","Aug"),"Sep","Sep"),"Okt","Oct"),"Nov","Nov"),"Des","Dec"))</f>
        <v>45231</v>
      </c>
      <c r="N38" t="str">
        <f>Table1[[#This Row],[ID_Transaksi]]</f>
        <v>INV-1037</v>
      </c>
      <c r="O38" s="5" t="str">
        <f>PROPER(TRIM(SUBSTITUTE(Table1[[#This Row],[Nama_Toko]],"""","")))</f>
        <v>Grosir Hemat</v>
      </c>
      <c r="P38" s="3" t="str">
        <f>PROPER(TRIM(Table1[[#This Row],[Kategori_Produk]]))</f>
        <v>Minuman</v>
      </c>
      <c r="Q38" t="str">
        <f>PROPER(TRIM(Table1[Nama Produk]))</f>
        <v>Minuman Energi Kaleng</v>
      </c>
      <c r="R38">
        <f>Table1[[#This Row],[Qty]]</f>
        <v>20</v>
      </c>
      <c r="S38" t="str">
        <f>SUBSTITUTE(SUBSTITUTE(Table1[[#This Row],[Harga_Satuan]],"Rp.",""),".","")</f>
        <v>8000</v>
      </c>
      <c r="T38">
        <f>Table1[[#This Row],[Total_Penjualan]]</f>
        <v>160000</v>
      </c>
      <c r="U38" t="str">
        <f>PROPER(Table1[[#This Row],[Kota]])</f>
        <v>Yogyakarta</v>
      </c>
      <c r="V38" t="str">
        <f>PROPER(Table1[[#This Row],[Metode_Pembayaran]])</f>
        <v>Kartu Debit</v>
      </c>
    </row>
    <row r="39" spans="1:22" x14ac:dyDescent="0.25">
      <c r="A39" s="8" t="s">
        <v>1339</v>
      </c>
      <c r="B39" s="5" t="s">
        <v>154</v>
      </c>
      <c r="C39" s="5" t="s">
        <v>959</v>
      </c>
      <c r="D39" s="5" t="s">
        <v>886</v>
      </c>
      <c r="E39" s="5" t="s">
        <v>156</v>
      </c>
      <c r="F39" s="5">
        <v>4</v>
      </c>
      <c r="G39" s="5">
        <v>50000</v>
      </c>
      <c r="H39" s="5">
        <v>200000</v>
      </c>
      <c r="I39" s="5" t="s">
        <v>960</v>
      </c>
      <c r="J39" s="6" t="s">
        <v>888</v>
      </c>
      <c r="M39" s="10">
        <f>DATEVALUE(SUBSTITUTE(SUBSTITUTE(SUBSTITUTE(SUBSTITUTE(SUBSTITUTE(SUBSTITUTE(SUBSTITUTE(SUBSTITUTE(SUBSTITUTE(SUBSTITUTE(SUBSTITUTE(SUBSTITUTE(Table1[[#This Row],[Tanggal]],"Jan", "Jan"),"Feb","Feb"),"Mar","Mar"),"Apr","Apr"),"Mei","May"),"Jun","Jun"),"Jul","Jul"),"Agu","Aug"),"Sep","Sep"),"Okt","Oct"),"Nov","Nov"),"Des","Dec"))</f>
        <v>45240</v>
      </c>
      <c r="N39" t="str">
        <f>Table1[[#This Row],[ID_Transaksi]]</f>
        <v>TRX-1038</v>
      </c>
      <c r="O39" s="5" t="str">
        <f>PROPER(TRIM(SUBSTITUTE(Table1[[#This Row],[Nama_Toko]],"""","")))</f>
        <v>Warung Asri</v>
      </c>
      <c r="P39" s="3" t="str">
        <f>PROPER(TRIM(Table1[[#This Row],[Kategori_Produk]]))</f>
        <v>Elektronik</v>
      </c>
      <c r="Q39" t="str">
        <f>PROPER(TRIM(Table1[Nama Produk]))</f>
        <v>Mouse Wireless</v>
      </c>
      <c r="R39">
        <f>Table1[[#This Row],[Qty]]</f>
        <v>4</v>
      </c>
      <c r="S39" t="str">
        <f>SUBSTITUTE(SUBSTITUTE(Table1[[#This Row],[Harga_Satuan]],"Rp.",""),".","")</f>
        <v>50000</v>
      </c>
      <c r="T39">
        <f>Table1[[#This Row],[Total_Penjualan]]</f>
        <v>200000</v>
      </c>
      <c r="U39" t="str">
        <f>PROPER(Table1[[#This Row],[Kota]])</f>
        <v>Malang</v>
      </c>
      <c r="V39" t="str">
        <f>PROPER(Table1[[#This Row],[Metode_Pembayaran]])</f>
        <v>Kartu Kredit</v>
      </c>
    </row>
    <row r="40" spans="1:22" x14ac:dyDescent="0.25">
      <c r="A40" s="7" t="s">
        <v>1340</v>
      </c>
      <c r="B40" s="3" t="s">
        <v>158</v>
      </c>
      <c r="C40" s="3" t="s">
        <v>961</v>
      </c>
      <c r="D40" s="3" t="s">
        <v>890</v>
      </c>
      <c r="E40" s="3" t="s">
        <v>160</v>
      </c>
      <c r="F40" s="3">
        <v>5</v>
      </c>
      <c r="G40" s="3">
        <v>15000</v>
      </c>
      <c r="H40" s="3">
        <v>75000</v>
      </c>
      <c r="I40" s="3" t="s">
        <v>883</v>
      </c>
      <c r="J40" s="4" t="s">
        <v>893</v>
      </c>
      <c r="M40" s="10">
        <f>DATEVALUE(SUBSTITUTE(SUBSTITUTE(SUBSTITUTE(SUBSTITUTE(SUBSTITUTE(SUBSTITUTE(SUBSTITUTE(SUBSTITUTE(SUBSTITUTE(SUBSTITUTE(SUBSTITUTE(SUBSTITUTE(Table1[[#This Row],[Tanggal]],"Jan", "Jan"),"Feb","Feb"),"Mar","Mar"),"Apr","Apr"),"Mei","May"),"Jun","Jun"),"Jul","Jul"),"Agu","Aug"),"Sep","Sep"),"Okt","Oct"),"Nov","Nov"),"Des","Dec"))</f>
        <v>45250</v>
      </c>
      <c r="N40" t="str">
        <f>Table1[[#This Row],[ID_Transaksi]]</f>
        <v>INV-1039</v>
      </c>
      <c r="O40" s="5" t="str">
        <f>PROPER(TRIM(SUBSTITUTE(Table1[[#This Row],[Nama_Toko]],"""","")))</f>
        <v>Gudang Baru</v>
      </c>
      <c r="P40" s="3" t="str">
        <f>PROPER(TRIM(Table1[[#This Row],[Kategori_Produk]]))</f>
        <v>Kecantikan</v>
      </c>
      <c r="Q40" t="str">
        <f>PROPER(TRIM(Table1[Nama Produk]))</f>
        <v>Masker Wajah Sheet</v>
      </c>
      <c r="R40">
        <f>Table1[[#This Row],[Qty]]</f>
        <v>5</v>
      </c>
      <c r="S40" t="str">
        <f>SUBSTITUTE(SUBSTITUTE(Table1[[#This Row],[Harga_Satuan]],"Rp.",""),".","")</f>
        <v>15000</v>
      </c>
      <c r="T40">
        <f>Table1[[#This Row],[Total_Penjualan]]</f>
        <v>75000</v>
      </c>
      <c r="U40" t="str">
        <f>PROPER(Table1[[#This Row],[Kota]])</f>
        <v>Bandung</v>
      </c>
      <c r="V40" t="str">
        <f>PROPER(Table1[[#This Row],[Metode_Pembayaran]])</f>
        <v>Tunai</v>
      </c>
    </row>
    <row r="41" spans="1:22" x14ac:dyDescent="0.25">
      <c r="A41" s="8" t="s">
        <v>1341</v>
      </c>
      <c r="B41" s="5" t="s">
        <v>162</v>
      </c>
      <c r="C41" s="5" t="s">
        <v>962</v>
      </c>
      <c r="D41" s="5" t="s">
        <v>895</v>
      </c>
      <c r="E41" s="5" t="s">
        <v>963</v>
      </c>
      <c r="F41" s="5">
        <v>15</v>
      </c>
      <c r="G41" s="5">
        <v>7000</v>
      </c>
      <c r="H41" s="5">
        <v>105000</v>
      </c>
      <c r="I41" s="5" t="s">
        <v>919</v>
      </c>
      <c r="J41" s="6" t="s">
        <v>884</v>
      </c>
      <c r="M41" s="10">
        <f>DATEVALUE(SUBSTITUTE(SUBSTITUTE(SUBSTITUTE(SUBSTITUTE(SUBSTITUTE(SUBSTITUTE(SUBSTITUTE(SUBSTITUTE(SUBSTITUTE(SUBSTITUTE(SUBSTITUTE(SUBSTITUTE(Table1[[#This Row],[Tanggal]],"Jan", "Jan"),"Feb","Feb"),"Mar","Mar"),"Apr","Apr"),"Mei","May"),"Jun","Jun"),"Jul","Jul"),"Agu","Aug"),"Sep","Sep"),"Okt","Oct"),"Nov","Nov"),"Des","Dec"))</f>
        <v>45261</v>
      </c>
      <c r="N41" t="str">
        <f>Table1[[#This Row],[ID_Transaksi]]</f>
        <v>TRX-1040</v>
      </c>
      <c r="O41" s="5" t="str">
        <f>PROPER(TRIM(SUBSTITUTE(Table1[[#This Row],[Nama_Toko]],"""","")))</f>
        <v>Toko Sentral</v>
      </c>
      <c r="P41" s="3" t="str">
        <f>PROPER(TRIM(Table1[[#This Row],[Kategori_Produk]]))</f>
        <v>Makanan</v>
      </c>
      <c r="Q41" t="str">
        <f>PROPER(TRIM(Table1[Nama Produk]))</f>
        <v>Kerupuk Udang</v>
      </c>
      <c r="R41">
        <f>Table1[[#This Row],[Qty]]</f>
        <v>15</v>
      </c>
      <c r="S41" t="str">
        <f>SUBSTITUTE(SUBSTITUTE(Table1[[#This Row],[Harga_Satuan]],"Rp.",""),".","")</f>
        <v>7000</v>
      </c>
      <c r="T41">
        <f>Table1[[#This Row],[Total_Penjualan]]</f>
        <v>105000</v>
      </c>
      <c r="U41" t="str">
        <f>PROPER(Table1[[#This Row],[Kota]])</f>
        <v>Semarang</v>
      </c>
      <c r="V41" t="str">
        <f>PROPER(Table1[[#This Row],[Metode_Pembayaran]])</f>
        <v>Kartu Debit</v>
      </c>
    </row>
    <row r="42" spans="1:22" x14ac:dyDescent="0.25">
      <c r="A42" s="7" t="s">
        <v>956</v>
      </c>
      <c r="B42" s="3" t="s">
        <v>165</v>
      </c>
      <c r="C42" s="3" t="s">
        <v>964</v>
      </c>
      <c r="D42" s="3" t="s">
        <v>43</v>
      </c>
      <c r="E42" s="3" t="s">
        <v>167</v>
      </c>
      <c r="F42" s="3">
        <v>8</v>
      </c>
      <c r="G42" s="3">
        <v>25000</v>
      </c>
      <c r="H42" s="3">
        <v>200000</v>
      </c>
      <c r="I42" s="3" t="s">
        <v>965</v>
      </c>
      <c r="J42" s="4" t="s">
        <v>880</v>
      </c>
      <c r="M42" s="10">
        <f>DATEVALUE(SUBSTITUTE(SUBSTITUTE(SUBSTITUTE(SUBSTITUTE(SUBSTITUTE(SUBSTITUTE(SUBSTITUTE(SUBSTITUTE(SUBSTITUTE(SUBSTITUTE(SUBSTITUTE(SUBSTITUTE(Table1[[#This Row],[Tanggal]],"Jan", "Jan"),"Feb","Feb"),"Mar","Mar"),"Apr","Apr"),"Mei","May"),"Jun","Jun"),"Jul","Jul"),"Agu","Aug"),"Sep","Sep"),"Okt","Oct"),"Nov","Nov"),"Des","Dec"))</f>
        <v>45275</v>
      </c>
      <c r="N42" t="str">
        <f>Table1[[#This Row],[ID_Transaksi]]</f>
        <v>INV-1041</v>
      </c>
      <c r="O42" s="5" t="str">
        <f>PROPER(TRIM(SUBSTITUTE(Table1[[#This Row],[Nama_Toko]],"""","")))</f>
        <v>Pasar Subuh</v>
      </c>
      <c r="P42" s="3" t="str">
        <f>PROPER(TRIM(Table1[[#This Row],[Kategori_Produk]]))</f>
        <v>Pakaian</v>
      </c>
      <c r="Q42" t="str">
        <f>PROPER(TRIM(Table1[Nama Produk]))</f>
        <v>Sandal Jepit Casual</v>
      </c>
      <c r="R42">
        <f>Table1[[#This Row],[Qty]]</f>
        <v>8</v>
      </c>
      <c r="S42" t="str">
        <f>SUBSTITUTE(SUBSTITUTE(Table1[[#This Row],[Harga_Satuan]],"Rp.",""),".","")</f>
        <v>25000</v>
      </c>
      <c r="T42">
        <f>Table1[[#This Row],[Total_Penjualan]]</f>
        <v>200000</v>
      </c>
      <c r="U42" t="str">
        <f>PROPER(Table1[[#This Row],[Kota]])</f>
        <v>Surabaya</v>
      </c>
      <c r="V42" t="str">
        <f>PROPER(Table1[[#This Row],[Metode_Pembayaran]])</f>
        <v>Tunai</v>
      </c>
    </row>
    <row r="43" spans="1:22" x14ac:dyDescent="0.25">
      <c r="A43" s="8" t="s">
        <v>1342</v>
      </c>
      <c r="B43" s="5" t="s">
        <v>169</v>
      </c>
      <c r="C43" s="5" t="s">
        <v>966</v>
      </c>
      <c r="D43" s="5" t="s">
        <v>901</v>
      </c>
      <c r="E43" s="5" t="s">
        <v>171</v>
      </c>
      <c r="F43" s="5">
        <v>12</v>
      </c>
      <c r="G43" s="5">
        <v>5000</v>
      </c>
      <c r="H43" s="5">
        <v>60000</v>
      </c>
      <c r="I43" s="5" t="s">
        <v>937</v>
      </c>
      <c r="J43" s="6" t="s">
        <v>29</v>
      </c>
      <c r="M43" s="10">
        <f>DATEVALUE(SUBSTITUTE(SUBSTITUTE(SUBSTITUTE(SUBSTITUTE(SUBSTITUTE(SUBSTITUTE(SUBSTITUTE(SUBSTITUTE(SUBSTITUTE(SUBSTITUTE(SUBSTITUTE(SUBSTITUTE(Table1[[#This Row],[Tanggal]],"Jan", "Jan"),"Feb","Feb"),"Mar","Mar"),"Apr","Apr"),"Mei","May"),"Jun","Jun"),"Jul","Jul"),"Agu","Aug"),"Sep","Sep"),"Okt","Oct"),"Nov","Nov"),"Des","Dec"))</f>
        <v>45285</v>
      </c>
      <c r="N43" t="str">
        <f>Table1[[#This Row],[ID_Transaksi]]</f>
        <v>TRX-1042</v>
      </c>
      <c r="O43" s="5" t="str">
        <f>PROPER(TRIM(SUBSTITUTE(Table1[[#This Row],[Nama_Toko]],"""","")))</f>
        <v>Minimarket Rakyat</v>
      </c>
      <c r="P43" s="3" t="str">
        <f>PROPER(TRIM(Table1[[#This Row],[Kategori_Produk]]))</f>
        <v>Mainan</v>
      </c>
      <c r="Q43" t="str">
        <f>PROPER(TRIM(Table1[Nama Produk]))</f>
        <v>Balon Udara Mainan</v>
      </c>
      <c r="R43">
        <f>Table1[[#This Row],[Qty]]</f>
        <v>12</v>
      </c>
      <c r="S43" t="str">
        <f>SUBSTITUTE(SUBSTITUTE(Table1[[#This Row],[Harga_Satuan]],"Rp.",""),".","")</f>
        <v>5000</v>
      </c>
      <c r="T43">
        <f>Table1[[#This Row],[Total_Penjualan]]</f>
        <v>60000</v>
      </c>
      <c r="U43" t="str">
        <f>PROPER(Table1[[#This Row],[Kota]])</f>
        <v>Depok</v>
      </c>
      <c r="V43" t="str">
        <f>PROPER(Table1[[#This Row],[Metode_Pembayaran]])</f>
        <v>Kartu Kredit</v>
      </c>
    </row>
    <row r="44" spans="1:22" x14ac:dyDescent="0.25">
      <c r="A44" s="7" t="s">
        <v>1343</v>
      </c>
      <c r="B44" s="3" t="s">
        <v>173</v>
      </c>
      <c r="C44" s="3" t="s">
        <v>967</v>
      </c>
      <c r="D44" s="3" t="s">
        <v>12</v>
      </c>
      <c r="E44" s="3" t="s">
        <v>175</v>
      </c>
      <c r="F44" s="3">
        <v>2</v>
      </c>
      <c r="G44" s="3">
        <v>17000</v>
      </c>
      <c r="H44" s="3">
        <v>34000</v>
      </c>
      <c r="I44" s="3" t="s">
        <v>968</v>
      </c>
      <c r="J44" s="4" t="s">
        <v>893</v>
      </c>
      <c r="M44" s="10">
        <f>DATEVALUE(SUBSTITUTE(SUBSTITUTE(SUBSTITUTE(SUBSTITUTE(SUBSTITUTE(SUBSTITUTE(SUBSTITUTE(SUBSTITUTE(SUBSTITUTE(SUBSTITUTE(SUBSTITUTE(SUBSTITUTE(Table1[[#This Row],[Tanggal]],"Jan", "Jan"),"Feb","Feb"),"Mar","Mar"),"Apr","Apr"),"Mei","May"),"Jun","Jun"),"Jul","Jul"),"Agu","Aug"),"Sep","Sep"),"Okt","Oct"),"Nov","Nov"),"Des","Dec"))</f>
        <v>45296</v>
      </c>
      <c r="N44" t="str">
        <f>Table1[[#This Row],[ID_Transaksi]]</f>
        <v>INV-1043</v>
      </c>
      <c r="O44" s="5" t="str">
        <f>PROPER(TRIM(SUBSTITUTE(Table1[[#This Row],[Nama_Toko]],"""","")))</f>
        <v>Toko Kreatif</v>
      </c>
      <c r="P44" s="3" t="str">
        <f>PROPER(TRIM(Table1[[#This Row],[Kategori_Produk]]))</f>
        <v>Makanan</v>
      </c>
      <c r="Q44" t="str">
        <f>PROPER(TRIM(Table1[Nama Produk]))</f>
        <v>Nasi Instan Siap Saji</v>
      </c>
      <c r="R44">
        <f>Table1[[#This Row],[Qty]]</f>
        <v>2</v>
      </c>
      <c r="S44" t="str">
        <f>SUBSTITUTE(SUBSTITUTE(Table1[[#This Row],[Harga_Satuan]],"Rp.",""),".","")</f>
        <v>17000</v>
      </c>
      <c r="T44">
        <f>Table1[[#This Row],[Total_Penjualan]]</f>
        <v>34000</v>
      </c>
      <c r="U44" t="str">
        <f>PROPER(Table1[[#This Row],[Kota]])</f>
        <v>Jakarta Selatan</v>
      </c>
      <c r="V44" t="str">
        <f>PROPER(Table1[[#This Row],[Metode_Pembayaran]])</f>
        <v>Tunai</v>
      </c>
    </row>
    <row r="45" spans="1:22" x14ac:dyDescent="0.25">
      <c r="A45" s="8" t="s">
        <v>1344</v>
      </c>
      <c r="B45" s="5" t="s">
        <v>177</v>
      </c>
      <c r="C45" s="5" t="s">
        <v>969</v>
      </c>
      <c r="D45" s="5" t="s">
        <v>19</v>
      </c>
      <c r="E45" s="5" t="s">
        <v>179</v>
      </c>
      <c r="F45" s="5">
        <v>18</v>
      </c>
      <c r="G45" s="5">
        <v>6000</v>
      </c>
      <c r="H45" s="5">
        <v>108000</v>
      </c>
      <c r="I45" s="5" t="s">
        <v>915</v>
      </c>
      <c r="J45" s="6" t="s">
        <v>884</v>
      </c>
      <c r="M45" s="10">
        <f>DATEVALUE(SUBSTITUTE(SUBSTITUTE(SUBSTITUTE(SUBSTITUTE(SUBSTITUTE(SUBSTITUTE(SUBSTITUTE(SUBSTITUTE(SUBSTITUTE(SUBSTITUTE(SUBSTITUTE(SUBSTITUTE(Table1[[#This Row],[Tanggal]],"Jan", "Jan"),"Feb","Feb"),"Mar","Mar"),"Apr","Apr"),"Mei","May"),"Jun","Jun"),"Jul","Jul"),"Agu","Aug"),"Sep","Sep"),"Okt","Oct"),"Nov","Nov"),"Des","Dec"))</f>
        <v>45306</v>
      </c>
      <c r="N45" t="str">
        <f>Table1[[#This Row],[ID_Transaksi]]</f>
        <v>TRX-1044</v>
      </c>
      <c r="O45" s="5" t="str">
        <f>PROPER(TRIM(SUBSTITUTE(Table1[[#This Row],[Nama_Toko]],"""","")))</f>
        <v>Grosir Pusat</v>
      </c>
      <c r="P45" s="3" t="str">
        <f>PROPER(TRIM(Table1[[#This Row],[Kategori_Produk]]))</f>
        <v>Minuman</v>
      </c>
      <c r="Q45" t="str">
        <f>PROPER(TRIM(Table1[Nama Produk]))</f>
        <v>Soda Rasa Lemon</v>
      </c>
      <c r="R45">
        <f>Table1[[#This Row],[Qty]]</f>
        <v>18</v>
      </c>
      <c r="S45" t="str">
        <f>SUBSTITUTE(SUBSTITUTE(Table1[[#This Row],[Harga_Satuan]],"Rp.",""),".","")</f>
        <v>6000</v>
      </c>
      <c r="T45">
        <f>Table1[[#This Row],[Total_Penjualan]]</f>
        <v>108000</v>
      </c>
      <c r="U45" t="str">
        <f>PROPER(Table1[[#This Row],[Kota]])</f>
        <v>Medan</v>
      </c>
      <c r="V45" t="str">
        <f>PROPER(Table1[[#This Row],[Metode_Pembayaran]])</f>
        <v>Kartu Debit</v>
      </c>
    </row>
    <row r="46" spans="1:22" x14ac:dyDescent="0.25">
      <c r="A46" s="7" t="s">
        <v>1345</v>
      </c>
      <c r="B46" s="3" t="s">
        <v>181</v>
      </c>
      <c r="C46" s="3" t="s">
        <v>970</v>
      </c>
      <c r="D46" s="3" t="s">
        <v>886</v>
      </c>
      <c r="E46" s="3" t="s">
        <v>183</v>
      </c>
      <c r="F46" s="3">
        <v>1</v>
      </c>
      <c r="G46" s="3">
        <v>65000</v>
      </c>
      <c r="H46" s="3">
        <v>65000</v>
      </c>
      <c r="I46" s="3" t="s">
        <v>913</v>
      </c>
      <c r="J46" s="4" t="s">
        <v>888</v>
      </c>
      <c r="M46" s="10">
        <f>DATEVALUE(SUBSTITUTE(SUBSTITUTE(SUBSTITUTE(SUBSTITUTE(SUBSTITUTE(SUBSTITUTE(SUBSTITUTE(SUBSTITUTE(SUBSTITUTE(SUBSTITUTE(SUBSTITUTE(SUBSTITUTE(Table1[[#This Row],[Tanggal]],"Jan", "Jan"),"Feb","Feb"),"Mar","Mar"),"Apr","Apr"),"Mei","May"),"Jun","Jun"),"Jul","Jul"),"Agu","Aug"),"Sep","Sep"),"Okt","Oct"),"Nov","Nov"),"Des","Dec"))</f>
        <v>45316</v>
      </c>
      <c r="N46" t="str">
        <f>Table1[[#This Row],[ID_Transaksi]]</f>
        <v>INV-1045</v>
      </c>
      <c r="O46" s="5" t="str">
        <f>PROPER(TRIM(SUBSTITUTE(Table1[[#This Row],[Nama_Toko]],"""","")))</f>
        <v>Warung Sehat</v>
      </c>
      <c r="P46" s="3" t="str">
        <f>PROPER(TRIM(Table1[[#This Row],[Kategori_Produk]]))</f>
        <v>Elektronik</v>
      </c>
      <c r="Q46" t="str">
        <f>PROPER(TRIM(Table1[Nama Produk]))</f>
        <v>Tripod Kamera Mini</v>
      </c>
      <c r="R46">
        <f>Table1[[#This Row],[Qty]]</f>
        <v>1</v>
      </c>
      <c r="S46" t="str">
        <f>SUBSTITUTE(SUBSTITUTE(Table1[[#This Row],[Harga_Satuan]],"Rp.",""),".","")</f>
        <v>65000</v>
      </c>
      <c r="T46">
        <f>Table1[[#This Row],[Total_Penjualan]]</f>
        <v>65000</v>
      </c>
      <c r="U46" t="str">
        <f>PROPER(Table1[[#This Row],[Kota]])</f>
        <v>Yogyakarta</v>
      </c>
      <c r="V46" t="str">
        <f>PROPER(Table1[[#This Row],[Metode_Pembayaran]])</f>
        <v>Kartu Kredit</v>
      </c>
    </row>
    <row r="47" spans="1:22" x14ac:dyDescent="0.25">
      <c r="A47" s="8" t="s">
        <v>1346</v>
      </c>
      <c r="B47" s="5" t="s">
        <v>185</v>
      </c>
      <c r="C47" s="5" t="s">
        <v>971</v>
      </c>
      <c r="D47" s="5" t="s">
        <v>890</v>
      </c>
      <c r="E47" s="5" t="s">
        <v>186</v>
      </c>
      <c r="F47" s="5">
        <v>2</v>
      </c>
      <c r="G47" s="5">
        <v>45000</v>
      </c>
      <c r="H47" s="5">
        <v>90000</v>
      </c>
      <c r="I47" s="5" t="s">
        <v>960</v>
      </c>
      <c r="J47" s="6" t="s">
        <v>893</v>
      </c>
      <c r="M47" s="10">
        <f>DATEVALUE(SUBSTITUTE(SUBSTITUTE(SUBSTITUTE(SUBSTITUTE(SUBSTITUTE(SUBSTITUTE(SUBSTITUTE(SUBSTITUTE(SUBSTITUTE(SUBSTITUTE(SUBSTITUTE(SUBSTITUTE(Table1[[#This Row],[Tanggal]],"Jan", "Jan"),"Feb","Feb"),"Mar","Mar"),"Apr","Apr"),"Mei","May"),"Jun","Jun"),"Jul","Jul"),"Agu","Aug"),"Sep","Sep"),"Okt","Oct"),"Nov","Nov"),"Des","Dec"))</f>
        <v>45323</v>
      </c>
      <c r="N47" t="str">
        <f>Table1[[#This Row],[ID_Transaksi]]</f>
        <v>TRX-1046</v>
      </c>
      <c r="O47" s="5" t="str">
        <f>PROPER(TRIM(SUBSTITUTE(Table1[[#This Row],[Nama_Toko]],"""","")))</f>
        <v>Gudang Besar</v>
      </c>
      <c r="P47" s="3" t="str">
        <f>PROPER(TRIM(Table1[[#This Row],[Kategori_Produk]]))</f>
        <v>Kecantikan</v>
      </c>
      <c r="Q47" t="str">
        <f>PROPER(TRIM(Table1[Nama Produk]))</f>
        <v>Eyeliner Waterproof</v>
      </c>
      <c r="R47">
        <f>Table1[[#This Row],[Qty]]</f>
        <v>2</v>
      </c>
      <c r="S47" t="str">
        <f>SUBSTITUTE(SUBSTITUTE(Table1[[#This Row],[Harga_Satuan]],"Rp.",""),".","")</f>
        <v>45000</v>
      </c>
      <c r="T47">
        <f>Table1[[#This Row],[Total_Penjualan]]</f>
        <v>90000</v>
      </c>
      <c r="U47" t="str">
        <f>PROPER(Table1[[#This Row],[Kota]])</f>
        <v>Malang</v>
      </c>
      <c r="V47" t="str">
        <f>PROPER(Table1[[#This Row],[Metode_Pembayaran]])</f>
        <v>Tunai</v>
      </c>
    </row>
    <row r="48" spans="1:22" x14ac:dyDescent="0.25">
      <c r="A48" s="7" t="s">
        <v>1347</v>
      </c>
      <c r="B48" s="5" t="s">
        <v>187</v>
      </c>
      <c r="C48" s="3" t="s">
        <v>972</v>
      </c>
      <c r="D48" s="3" t="s">
        <v>895</v>
      </c>
      <c r="E48" s="3" t="s">
        <v>973</v>
      </c>
      <c r="F48" s="3">
        <v>7</v>
      </c>
      <c r="G48" s="3">
        <v>14000</v>
      </c>
      <c r="H48" s="3">
        <v>98000</v>
      </c>
      <c r="I48" s="3" t="s">
        <v>21</v>
      </c>
      <c r="J48" s="4" t="s">
        <v>884</v>
      </c>
      <c r="M48" s="10">
        <f>DATEVALUE(SUBSTITUTE(SUBSTITUTE(SUBSTITUTE(SUBSTITUTE(SUBSTITUTE(SUBSTITUTE(SUBSTITUTE(SUBSTITUTE(SUBSTITUTE(SUBSTITUTE(SUBSTITUTE(SUBSTITUTE(Table1[[#This Row],[Tanggal]],"Jan", "Jan"),"Feb","Feb"),"Mar","Mar"),"Apr","Apr"),"Mei","May"),"Jun","Jun"),"Jul","Jul"),"Agu","Aug"),"Sep","Sep"),"Okt","Oct"),"Nov","Nov"),"Des","Dec"))</f>
        <v>45332</v>
      </c>
      <c r="N48" t="str">
        <f>Table1[[#This Row],[ID_Transaksi]]</f>
        <v>TRX-1047</v>
      </c>
      <c r="O48" s="5" t="str">
        <f>PROPER(TRIM(SUBSTITUTE(Table1[[#This Row],[Nama_Toko]],"""","")))</f>
        <v>Toko Murah</v>
      </c>
      <c r="P48" s="3" t="str">
        <f>PROPER(TRIM(Table1[[#This Row],[Kategori_Produk]]))</f>
        <v>Makanan</v>
      </c>
      <c r="Q48" t="str">
        <f>PROPER(TRIM(Table1[Nama Produk]))</f>
        <v>Saus Tomat Botol</v>
      </c>
      <c r="R48">
        <f>Table1[[#This Row],[Qty]]</f>
        <v>7</v>
      </c>
      <c r="S48" t="str">
        <f>SUBSTITUTE(SUBSTITUTE(Table1[[#This Row],[Harga_Satuan]],"Rp.",""),".","")</f>
        <v>14000</v>
      </c>
      <c r="T48">
        <f>Table1[[#This Row],[Total_Penjualan]]</f>
        <v>98000</v>
      </c>
      <c r="U48" t="str">
        <f>PROPER(Table1[[#This Row],[Kota]])</f>
        <v>Bandung</v>
      </c>
      <c r="V48" t="str">
        <f>PROPER(Table1[[#This Row],[Metode_Pembayaran]])</f>
        <v>Kartu Debit</v>
      </c>
    </row>
    <row r="49" spans="1:22" x14ac:dyDescent="0.25">
      <c r="A49" s="8" t="s">
        <v>1348</v>
      </c>
      <c r="B49" s="5" t="s">
        <v>191</v>
      </c>
      <c r="C49" s="5" t="s">
        <v>974</v>
      </c>
      <c r="D49" s="5" t="s">
        <v>43</v>
      </c>
      <c r="E49" s="5" t="s">
        <v>193</v>
      </c>
      <c r="F49" s="5">
        <v>3</v>
      </c>
      <c r="G49" s="5">
        <v>110000</v>
      </c>
      <c r="H49" s="5">
        <v>330000</v>
      </c>
      <c r="I49" s="5" t="s">
        <v>932</v>
      </c>
      <c r="J49" s="6" t="s">
        <v>880</v>
      </c>
      <c r="M49" s="10">
        <f>DATEVALUE(SUBSTITUTE(SUBSTITUTE(SUBSTITUTE(SUBSTITUTE(SUBSTITUTE(SUBSTITUTE(SUBSTITUTE(SUBSTITUTE(SUBSTITUTE(SUBSTITUTE(SUBSTITUTE(SUBSTITUTE(Table1[[#This Row],[Tanggal]],"Jan", "Jan"),"Feb","Feb"),"Mar","Mar"),"Apr","Apr"),"Mei","May"),"Jun","Jun"),"Jul","Jul"),"Agu","Aug"),"Sep","Sep"),"Okt","Oct"),"Nov","Nov"),"Des","Dec"))</f>
        <v>45342</v>
      </c>
      <c r="N49" t="str">
        <f>Table1[[#This Row],[ID_Transaksi]]</f>
        <v>INV-1048</v>
      </c>
      <c r="O49" s="5" t="str">
        <f>PROPER(TRIM(SUBSTITUTE(Table1[[#This Row],[Nama_Toko]],"""","")))</f>
        <v>Pasar Ceriam</v>
      </c>
      <c r="P49" s="3" t="str">
        <f>PROPER(TRIM(Table1[[#This Row],[Kategori_Produk]]))</f>
        <v>Pakaian</v>
      </c>
      <c r="Q49" t="str">
        <f>PROPER(TRIM(Table1[Nama Produk]))</f>
        <v>Rok Plisket Wanita</v>
      </c>
      <c r="R49">
        <f>Table1[[#This Row],[Qty]]</f>
        <v>3</v>
      </c>
      <c r="S49" t="str">
        <f>SUBSTITUTE(SUBSTITUTE(Table1[[#This Row],[Harga_Satuan]],"Rp.",""),".","")</f>
        <v>110000</v>
      </c>
      <c r="T49">
        <f>Table1[[#This Row],[Total_Penjualan]]</f>
        <v>330000</v>
      </c>
      <c r="U49" t="str">
        <f>PROPER(Table1[[#This Row],[Kota]])</f>
        <v>Semarang</v>
      </c>
      <c r="V49" t="str">
        <f>PROPER(Table1[[#This Row],[Metode_Pembayaran]])</f>
        <v>Tunai</v>
      </c>
    </row>
    <row r="50" spans="1:22" x14ac:dyDescent="0.25">
      <c r="A50" s="7" t="s">
        <v>1349</v>
      </c>
      <c r="B50" s="3" t="s">
        <v>195</v>
      </c>
      <c r="C50" s="3" t="s">
        <v>975</v>
      </c>
      <c r="D50" s="3" t="s">
        <v>901</v>
      </c>
      <c r="E50" s="3" t="s">
        <v>197</v>
      </c>
      <c r="F50" s="3">
        <v>4</v>
      </c>
      <c r="G50" s="3">
        <v>35000</v>
      </c>
      <c r="H50" s="3">
        <v>140000</v>
      </c>
      <c r="I50" s="3" t="s">
        <v>951</v>
      </c>
      <c r="J50" s="4" t="s">
        <v>29</v>
      </c>
      <c r="M50" s="10">
        <f>DATEVALUE(SUBSTITUTE(SUBSTITUTE(SUBSTITUTE(SUBSTITUTE(SUBSTITUTE(SUBSTITUTE(SUBSTITUTE(SUBSTITUTE(SUBSTITUTE(SUBSTITUTE(SUBSTITUTE(SUBSTITUTE(Table1[[#This Row],[Tanggal]],"Jan", "Jan"),"Feb","Feb"),"Mar","Mar"),"Apr","Apr"),"Mei","May"),"Jun","Jun"),"Jul","Jul"),"Agu","Aug"),"Sep","Sep"),"Okt","Oct"),"Nov","Nov"),"Des","Dec"))</f>
        <v>45352</v>
      </c>
      <c r="N50" t="str">
        <f>Table1[[#This Row],[ID_Transaksi]]</f>
        <v>TRX-1049</v>
      </c>
      <c r="O50" s="5" t="str">
        <f>PROPER(TRIM(SUBSTITUTE(Table1[[#This Row],[Nama_Toko]],"""","")))</f>
        <v>Minimarket Bersama</v>
      </c>
      <c r="P50" s="3" t="str">
        <f>PROPER(TRIM(Table1[[#This Row],[Kategori_Produk]]))</f>
        <v>Mainan</v>
      </c>
      <c r="Q50" t="str">
        <f>PROPER(TRIM(Table1[Nama Produk]))</f>
        <v>Mainan Pasir Kinetik</v>
      </c>
      <c r="R50">
        <f>Table1[[#This Row],[Qty]]</f>
        <v>4</v>
      </c>
      <c r="S50" t="str">
        <f>SUBSTITUTE(SUBSTITUTE(Table1[[#This Row],[Harga_Satuan]],"Rp.",""),".","")</f>
        <v>35000</v>
      </c>
      <c r="T50">
        <f>Table1[[#This Row],[Total_Penjualan]]</f>
        <v>140000</v>
      </c>
      <c r="U50" t="str">
        <f>PROPER(Table1[[#This Row],[Kota]])</f>
        <v>Surabaya</v>
      </c>
      <c r="V50" t="str">
        <f>PROPER(Table1[[#This Row],[Metode_Pembayaran]])</f>
        <v>Kartu Kredit</v>
      </c>
    </row>
    <row r="51" spans="1:22" x14ac:dyDescent="0.25">
      <c r="A51" s="8" t="s">
        <v>1350</v>
      </c>
      <c r="B51" s="5" t="s">
        <v>199</v>
      </c>
      <c r="C51" s="5" t="s">
        <v>976</v>
      </c>
      <c r="D51" s="5" t="s">
        <v>12</v>
      </c>
      <c r="E51" s="5" t="s">
        <v>201</v>
      </c>
      <c r="F51" s="5">
        <v>6</v>
      </c>
      <c r="G51" s="5">
        <v>22000</v>
      </c>
      <c r="H51" s="5">
        <v>132000</v>
      </c>
      <c r="I51" s="5" t="s">
        <v>923</v>
      </c>
      <c r="J51" s="6" t="s">
        <v>893</v>
      </c>
      <c r="M51" s="10">
        <f>DATEVALUE(SUBSTITUTE(SUBSTITUTE(SUBSTITUTE(SUBSTITUTE(SUBSTITUTE(SUBSTITUTE(SUBSTITUTE(SUBSTITUTE(SUBSTITUTE(SUBSTITUTE(SUBSTITUTE(SUBSTITUTE(Table1[[#This Row],[Tanggal]],"Jan", "Jan"),"Feb","Feb"),"Mar","Mar"),"Apr","Apr"),"Mei","May"),"Jun","Jun"),"Jul","Jul"),"Agu","Aug"),"Sep","Sep"),"Okt","Oct"),"Nov","Nov"),"Des","Dec"))</f>
        <v>45366</v>
      </c>
      <c r="N51" t="str">
        <f>Table1[[#This Row],[ID_Transaksi]]</f>
        <v>INV-1050</v>
      </c>
      <c r="O51" s="5" t="str">
        <f>PROPER(TRIM(SUBSTITUTE(Table1[[#This Row],[Nama_Toko]],"""","")))</f>
        <v>Toko Nyaman</v>
      </c>
      <c r="P51" s="3" t="str">
        <f>PROPER(TRIM(Table1[[#This Row],[Kategori_Produk]]))</f>
        <v>Makanan</v>
      </c>
      <c r="Q51" t="str">
        <f>PROPER(TRIM(Table1[Nama Produk]))</f>
        <v>Kacang Panggang Kaleng</v>
      </c>
      <c r="R51">
        <f>Table1[[#This Row],[Qty]]</f>
        <v>6</v>
      </c>
      <c r="S51" t="str">
        <f>SUBSTITUTE(SUBSTITUTE(Table1[[#This Row],[Harga_Satuan]],"Rp.",""),".","")</f>
        <v>22000</v>
      </c>
      <c r="T51">
        <f>Table1[[#This Row],[Total_Penjualan]]</f>
        <v>132000</v>
      </c>
      <c r="U51" t="str">
        <f>PROPER(Table1[[#This Row],[Kota]])</f>
        <v>Denpasar</v>
      </c>
      <c r="V51" t="str">
        <f>PROPER(Table1[[#This Row],[Metode_Pembayaran]])</f>
        <v>Tunai</v>
      </c>
    </row>
    <row r="52" spans="1:22" x14ac:dyDescent="0.25">
      <c r="A52" s="7" t="s">
        <v>1351</v>
      </c>
      <c r="B52" s="3" t="s">
        <v>203</v>
      </c>
      <c r="C52" s="3" t="s">
        <v>977</v>
      </c>
      <c r="D52" s="3" t="s">
        <v>19</v>
      </c>
      <c r="E52" s="3" t="s">
        <v>204</v>
      </c>
      <c r="F52" s="3">
        <v>10</v>
      </c>
      <c r="G52" s="3">
        <v>12000</v>
      </c>
      <c r="H52" s="3">
        <v>120000</v>
      </c>
      <c r="I52" s="3" t="s">
        <v>978</v>
      </c>
      <c r="J52" s="4" t="s">
        <v>884</v>
      </c>
      <c r="M52" s="10">
        <f>DATEVALUE(SUBSTITUTE(SUBSTITUTE(SUBSTITUTE(SUBSTITUTE(SUBSTITUTE(SUBSTITUTE(SUBSTITUTE(SUBSTITUTE(SUBSTITUTE(SUBSTITUTE(SUBSTITUTE(SUBSTITUTE(Table1[[#This Row],[Tanggal]],"Jan", "Jan"),"Feb","Feb"),"Mar","Mar"),"Apr","Apr"),"Mei","May"),"Jun","Jun"),"Jul","Jul"),"Agu","Aug"),"Sep","Sep"),"Okt","Oct"),"Nov","Nov"),"Des","Dec"))</f>
        <v>45376</v>
      </c>
      <c r="N52" t="str">
        <f>Table1[[#This Row],[ID_Transaksi]]</f>
        <v>TRX-1051</v>
      </c>
      <c r="O52" s="5" t="str">
        <f>PROPER(TRIM(SUBSTITUTE(Table1[[#This Row],[Nama_Toko]],"""","")))</f>
        <v>Grosir Kiloan</v>
      </c>
      <c r="P52" s="3" t="str">
        <f>PROPER(TRIM(Table1[[#This Row],[Kategori_Produk]]))</f>
        <v>Minuman</v>
      </c>
      <c r="Q52" t="str">
        <f>PROPER(TRIM(Table1[Nama Produk]))</f>
        <v>Sari Kedelai Botol</v>
      </c>
      <c r="R52">
        <f>Table1[[#This Row],[Qty]]</f>
        <v>10</v>
      </c>
      <c r="S52" t="str">
        <f>SUBSTITUTE(SUBSTITUTE(Table1[[#This Row],[Harga_Satuan]],"Rp.",""),".","")</f>
        <v>12000</v>
      </c>
      <c r="T52">
        <f>Table1[[#This Row],[Total_Penjualan]]</f>
        <v>120000</v>
      </c>
      <c r="U52" t="str">
        <f>PROPER(Table1[[#This Row],[Kota]])</f>
        <v>Jakarta</v>
      </c>
      <c r="V52" t="str">
        <f>PROPER(Table1[[#This Row],[Metode_Pembayaran]])</f>
        <v>Kartu Debit</v>
      </c>
    </row>
    <row r="53" spans="1:22" x14ac:dyDescent="0.25">
      <c r="A53" s="8" t="s">
        <v>1352</v>
      </c>
      <c r="B53" s="5" t="s">
        <v>205</v>
      </c>
      <c r="C53" s="5" t="s">
        <v>980</v>
      </c>
      <c r="D53" s="5" t="s">
        <v>886</v>
      </c>
      <c r="E53" s="5" t="s">
        <v>207</v>
      </c>
      <c r="F53" s="5">
        <v>1</v>
      </c>
      <c r="G53" s="5">
        <v>40000</v>
      </c>
      <c r="H53" s="5">
        <v>40000</v>
      </c>
      <c r="I53" s="5" t="s">
        <v>899</v>
      </c>
      <c r="J53" s="6" t="s">
        <v>888</v>
      </c>
      <c r="M53" s="10">
        <f>DATEVALUE(SUBSTITUTE(SUBSTITUTE(SUBSTITUTE(SUBSTITUTE(SUBSTITUTE(SUBSTITUTE(SUBSTITUTE(SUBSTITUTE(SUBSTITUTE(SUBSTITUTE(SUBSTITUTE(SUBSTITUTE(Table1[[#This Row],[Tanggal]],"Jan", "Jan"),"Feb","Feb"),"Mar","Mar"),"Apr","Apr"),"Mei","May"),"Jun","Jun"),"Jul","Jul"),"Agu","Aug"),"Sep","Sep"),"Okt","Oct"),"Nov","Nov"),"Des","Dec"))</f>
        <v>45387</v>
      </c>
      <c r="N53" t="str">
        <f>Table1[[#This Row],[ID_Transaksi]]</f>
        <v>INV-1052</v>
      </c>
      <c r="O53" s="5" t="str">
        <f>PROPER(TRIM(SUBSTITUTE(Table1[[#This Row],[Nama_Toko]],"""","")))</f>
        <v>Warung Damai</v>
      </c>
      <c r="P53" s="3" t="str">
        <f>PROPER(TRIM(Table1[[#This Row],[Kategori_Produk]]))</f>
        <v>Elektronik</v>
      </c>
      <c r="Q53" t="str">
        <f>PROPER(TRIM(Table1[Nama Produk]))</f>
        <v>Power Strip 5 Lubang</v>
      </c>
      <c r="R53">
        <f>Table1[[#This Row],[Qty]]</f>
        <v>1</v>
      </c>
      <c r="S53" t="str">
        <f>SUBSTITUTE(SUBSTITUTE(Table1[[#This Row],[Harga_Satuan]],"Rp.",""),".","")</f>
        <v>40000</v>
      </c>
      <c r="T53">
        <f>Table1[[#This Row],[Total_Penjualan]]</f>
        <v>40000</v>
      </c>
      <c r="U53" t="str">
        <f>PROPER(Table1[[#This Row],[Kota]])</f>
        <v>Medan</v>
      </c>
      <c r="V53" t="str">
        <f>PROPER(Table1[[#This Row],[Metode_Pembayaran]])</f>
        <v>Kartu Kredit</v>
      </c>
    </row>
    <row r="54" spans="1:22" x14ac:dyDescent="0.25">
      <c r="A54" s="7" t="s">
        <v>1353</v>
      </c>
      <c r="B54" s="3" t="s">
        <v>209</v>
      </c>
      <c r="C54" s="3" t="s">
        <v>981</v>
      </c>
      <c r="D54" s="3" t="s">
        <v>890</v>
      </c>
      <c r="E54" s="3" t="s">
        <v>211</v>
      </c>
      <c r="F54" s="3">
        <v>1</v>
      </c>
      <c r="G54" s="3">
        <v>150000</v>
      </c>
      <c r="H54" s="3">
        <v>150000</v>
      </c>
      <c r="I54" s="3" t="s">
        <v>913</v>
      </c>
      <c r="J54" s="4" t="s">
        <v>893</v>
      </c>
      <c r="M54" s="10">
        <f>DATEVALUE(SUBSTITUTE(SUBSTITUTE(SUBSTITUTE(SUBSTITUTE(SUBSTITUTE(SUBSTITUTE(SUBSTITUTE(SUBSTITUTE(SUBSTITUTE(SUBSTITUTE(SUBSTITUTE(SUBSTITUTE(Table1[[#This Row],[Tanggal]],"Jan", "Jan"),"Feb","Feb"),"Mar","Mar"),"Apr","Apr"),"Mei","May"),"Jun","Jun"),"Jul","Jul"),"Agu","Aug"),"Sep","Sep"),"Okt","Oct"),"Nov","Nov"),"Des","Dec"))</f>
        <v>45397</v>
      </c>
      <c r="N54" t="str">
        <f>Table1[[#This Row],[ID_Transaksi]]</f>
        <v>TRX-1053</v>
      </c>
      <c r="O54" s="5" t="str">
        <f>PROPER(TRIM(SUBSTITUTE(Table1[[#This Row],[Nama_Toko]],"""","")))</f>
        <v>Gudang Canggih</v>
      </c>
      <c r="P54" s="3" t="str">
        <f>PROPER(TRIM(Table1[[#This Row],[Kategori_Produk]]))</f>
        <v>Kecantikan</v>
      </c>
      <c r="Q54" t="str">
        <f>PROPER(TRIM(Table1[Nama Produk]))</f>
        <v>Hair Dryer Portable</v>
      </c>
      <c r="R54">
        <f>Table1[[#This Row],[Qty]]</f>
        <v>1</v>
      </c>
      <c r="S54" t="str">
        <f>SUBSTITUTE(SUBSTITUTE(Table1[[#This Row],[Harga_Satuan]],"Rp.",""),".","")</f>
        <v>150000</v>
      </c>
      <c r="T54">
        <f>Table1[[#This Row],[Total_Penjualan]]</f>
        <v>150000</v>
      </c>
      <c r="U54" t="str">
        <f>PROPER(Table1[[#This Row],[Kota]])</f>
        <v>Yogyakarta</v>
      </c>
      <c r="V54" t="str">
        <f>PROPER(Table1[[#This Row],[Metode_Pembayaran]])</f>
        <v>Tunai</v>
      </c>
    </row>
    <row r="55" spans="1:22" x14ac:dyDescent="0.25">
      <c r="A55" s="8" t="s">
        <v>1354</v>
      </c>
      <c r="B55" s="5" t="s">
        <v>213</v>
      </c>
      <c r="C55" s="5" t="s">
        <v>982</v>
      </c>
      <c r="D55" s="5" t="s">
        <v>895</v>
      </c>
      <c r="E55" s="5" t="s">
        <v>983</v>
      </c>
      <c r="F55" s="5">
        <v>25</v>
      </c>
      <c r="G55" s="5">
        <v>3000</v>
      </c>
      <c r="H55" s="5">
        <v>75000</v>
      </c>
      <c r="I55" s="5" t="s">
        <v>960</v>
      </c>
      <c r="J55" s="6" t="s">
        <v>884</v>
      </c>
      <c r="M55" s="10">
        <f>DATEVALUE(SUBSTITUTE(SUBSTITUTE(SUBSTITUTE(SUBSTITUTE(SUBSTITUTE(SUBSTITUTE(SUBSTITUTE(SUBSTITUTE(SUBSTITUTE(SUBSTITUTE(SUBSTITUTE(SUBSTITUTE(Table1[[#This Row],[Tanggal]],"Jan", "Jan"),"Feb","Feb"),"Mar","Mar"),"Apr","Apr"),"Mei","May"),"Jun","Jun"),"Jul","Jul"),"Agu","Aug"),"Sep","Sep"),"Okt","Oct"),"Nov","Nov"),"Des","Dec"))</f>
        <v>45407</v>
      </c>
      <c r="N55" t="str">
        <f>Table1[[#This Row],[ID_Transaksi]]</f>
        <v>INV-1054</v>
      </c>
      <c r="O55" s="5" t="str">
        <f>PROPER(TRIM(SUBSTITUTE(Table1[[#This Row],[Nama_Toko]],"""","")))</f>
        <v>Toko Sukses</v>
      </c>
      <c r="P55" s="3" t="str">
        <f>PROPER(TRIM(Table1[[#This Row],[Kategori_Produk]]))</f>
        <v>Makanan</v>
      </c>
      <c r="Q55" t="str">
        <f>PROPER(TRIM(Table1[Nama Produk]))</f>
        <v>Mie Goreng Instan</v>
      </c>
      <c r="R55">
        <f>Table1[[#This Row],[Qty]]</f>
        <v>25</v>
      </c>
      <c r="S55" t="str">
        <f>SUBSTITUTE(SUBSTITUTE(Table1[[#This Row],[Harga_Satuan]],"Rp.",""),".","")</f>
        <v>3000</v>
      </c>
      <c r="T55">
        <f>Table1[[#This Row],[Total_Penjualan]]</f>
        <v>75000</v>
      </c>
      <c r="U55" t="str">
        <f>PROPER(Table1[[#This Row],[Kota]])</f>
        <v>Malang</v>
      </c>
      <c r="V55" t="str">
        <f>PROPER(Table1[[#This Row],[Metode_Pembayaran]])</f>
        <v>Kartu Debit</v>
      </c>
    </row>
    <row r="56" spans="1:22" x14ac:dyDescent="0.25">
      <c r="A56" s="7" t="s">
        <v>1355</v>
      </c>
      <c r="B56" s="3" t="s">
        <v>217</v>
      </c>
      <c r="C56" s="3" t="s">
        <v>984</v>
      </c>
      <c r="D56" s="3" t="s">
        <v>43</v>
      </c>
      <c r="E56" s="3" t="s">
        <v>219</v>
      </c>
      <c r="F56" s="3">
        <v>15</v>
      </c>
      <c r="G56" s="3">
        <v>35000</v>
      </c>
      <c r="H56" s="3">
        <v>525000</v>
      </c>
      <c r="I56" s="3" t="s">
        <v>883</v>
      </c>
      <c r="J56" s="4" t="s">
        <v>880</v>
      </c>
      <c r="M56" s="10">
        <f>DATEVALUE(SUBSTITUTE(SUBSTITUTE(SUBSTITUTE(SUBSTITUTE(SUBSTITUTE(SUBSTITUTE(SUBSTITUTE(SUBSTITUTE(SUBSTITUTE(SUBSTITUTE(SUBSTITUTE(SUBSTITUTE(Table1[[#This Row],[Tanggal]],"Jan", "Jan"),"Feb","Feb"),"Mar","Mar"),"Apr","Apr"),"Mei","May"),"Jun","Jun"),"Jul","Jul"),"Agu","Aug"),"Sep","Sep"),"Okt","Oct"),"Nov","Nov"),"Des","Dec"))</f>
        <v>45413</v>
      </c>
      <c r="N56" t="str">
        <f>Table1[[#This Row],[ID_Transaksi]]</f>
        <v>TRX-1055</v>
      </c>
      <c r="O56" s="5" t="str">
        <f>PROPER(TRIM(SUBSTITUTE(Table1[[#This Row],[Nama_Toko]],"""","")))</f>
        <v>Pasar Sentral</v>
      </c>
      <c r="P56" s="3" t="str">
        <f>PROPER(TRIM(Table1[[#This Row],[Kategori_Produk]]))</f>
        <v>Pakaian</v>
      </c>
      <c r="Q56" t="str">
        <f>PROPER(TRIM(Table1[Nama Produk]))</f>
        <v>Jilbab Segi Empat Polos</v>
      </c>
      <c r="R56">
        <f>Table1[[#This Row],[Qty]]</f>
        <v>15</v>
      </c>
      <c r="S56" t="str">
        <f>SUBSTITUTE(SUBSTITUTE(Table1[[#This Row],[Harga_Satuan]],"Rp.",""),".","")</f>
        <v>35000</v>
      </c>
      <c r="T56">
        <f>Table1[[#This Row],[Total_Penjualan]]</f>
        <v>525000</v>
      </c>
      <c r="U56" t="str">
        <f>PROPER(Table1[[#This Row],[Kota]])</f>
        <v>Bandung</v>
      </c>
      <c r="V56" t="str">
        <f>PROPER(Table1[[#This Row],[Metode_Pembayaran]])</f>
        <v>Tunai</v>
      </c>
    </row>
    <row r="57" spans="1:22" x14ac:dyDescent="0.25">
      <c r="A57" s="8" t="s">
        <v>979</v>
      </c>
      <c r="B57" s="5" t="s">
        <v>221</v>
      </c>
      <c r="C57" s="5" t="s">
        <v>985</v>
      </c>
      <c r="D57" s="5" t="s">
        <v>901</v>
      </c>
      <c r="E57" s="5" t="s">
        <v>223</v>
      </c>
      <c r="F57" s="5">
        <v>1</v>
      </c>
      <c r="G57" s="5">
        <v>250000</v>
      </c>
      <c r="H57" s="5">
        <v>250000</v>
      </c>
      <c r="I57" s="5" t="s">
        <v>919</v>
      </c>
      <c r="J57" s="6" t="s">
        <v>29</v>
      </c>
      <c r="M57" s="10">
        <f>DATEVALUE(SUBSTITUTE(SUBSTITUTE(SUBSTITUTE(SUBSTITUTE(SUBSTITUTE(SUBSTITUTE(SUBSTITUTE(SUBSTITUTE(SUBSTITUTE(SUBSTITUTE(SUBSTITUTE(SUBSTITUTE(Table1[[#This Row],[Tanggal]],"Jan", "Jan"),"Feb","Feb"),"Mar","Mar"),"Apr","Apr"),"Mei","May"),"Jun","Jun"),"Jul","Jul"),"Agu","Aug"),"Sep","Sep"),"Okt","Oct"),"Nov","Nov"),"Des","Dec"))</f>
        <v>45422</v>
      </c>
      <c r="N57" t="str">
        <f>Table1[[#This Row],[ID_Transaksi]]</f>
        <v>INV-1056</v>
      </c>
      <c r="O57" s="5" t="str">
        <f>PROPER(TRIM(SUBSTITUTE(Table1[[#This Row],[Nama_Toko]],"""","")))</f>
        <v>Minimarket Pintar</v>
      </c>
      <c r="P57" s="3" t="str">
        <f>PROPER(TRIM(Table1[[#This Row],[Kategori_Produk]]))</f>
        <v>Mainan</v>
      </c>
      <c r="Q57" t="str">
        <f>PROPER(TRIM(Table1[Nama Produk]))</f>
        <v>Skuter Anak Roda Tiga</v>
      </c>
      <c r="R57">
        <f>Table1[[#This Row],[Qty]]</f>
        <v>1</v>
      </c>
      <c r="S57" t="str">
        <f>SUBSTITUTE(SUBSTITUTE(Table1[[#This Row],[Harga_Satuan]],"Rp.",""),".","")</f>
        <v>250000</v>
      </c>
      <c r="T57">
        <f>Table1[[#This Row],[Total_Penjualan]]</f>
        <v>250000</v>
      </c>
      <c r="U57" t="str">
        <f>PROPER(Table1[[#This Row],[Kota]])</f>
        <v>Semarang</v>
      </c>
      <c r="V57" t="str">
        <f>PROPER(Table1[[#This Row],[Metode_Pembayaran]])</f>
        <v>Kartu Kredit</v>
      </c>
    </row>
    <row r="58" spans="1:22" x14ac:dyDescent="0.25">
      <c r="A58" s="7" t="s">
        <v>1356</v>
      </c>
      <c r="B58" s="3" t="s">
        <v>225</v>
      </c>
      <c r="C58" s="3" t="s">
        <v>986</v>
      </c>
      <c r="D58" s="3" t="s">
        <v>12</v>
      </c>
      <c r="E58" s="3" t="s">
        <v>227</v>
      </c>
      <c r="F58" s="3">
        <v>3</v>
      </c>
      <c r="G58" s="3">
        <v>45000</v>
      </c>
      <c r="H58" s="3">
        <v>135000</v>
      </c>
      <c r="I58" s="3" t="s">
        <v>965</v>
      </c>
      <c r="J58" s="4" t="s">
        <v>893</v>
      </c>
      <c r="M58" s="10">
        <f>DATEVALUE(SUBSTITUTE(SUBSTITUTE(SUBSTITUTE(SUBSTITUTE(SUBSTITUTE(SUBSTITUTE(SUBSTITUTE(SUBSTITUTE(SUBSTITUTE(SUBSTITUTE(SUBSTITUTE(SUBSTITUTE(Table1[[#This Row],[Tanggal]],"Jan", "Jan"),"Feb","Feb"),"Mar","Mar"),"Apr","Apr"),"Mei","May"),"Jun","Jun"),"Jul","Jul"),"Agu","Aug"),"Sep","Sep"),"Okt","Oct"),"Nov","Nov"),"Des","Dec"))</f>
        <v>45432</v>
      </c>
      <c r="N58" t="str">
        <f>Table1[[#This Row],[ID_Transaksi]]</f>
        <v>TRX-1057</v>
      </c>
      <c r="O58" s="5" t="str">
        <f>PROPER(TRIM(SUBSTITUTE(Table1[[#This Row],[Nama_Toko]],"""","")))</f>
        <v>Toko Rizki</v>
      </c>
      <c r="P58" s="3" t="str">
        <f>PROPER(TRIM(Table1[[#This Row],[Kategori_Produk]]))</f>
        <v>Makanan</v>
      </c>
      <c r="Q58" t="str">
        <f>PROPER(TRIM(Table1[Nama Produk]))</f>
        <v>Rendang Instan Kaleng</v>
      </c>
      <c r="R58">
        <f>Table1[[#This Row],[Qty]]</f>
        <v>3</v>
      </c>
      <c r="S58" t="str">
        <f>SUBSTITUTE(SUBSTITUTE(Table1[[#This Row],[Harga_Satuan]],"Rp.",""),".","")</f>
        <v>45000</v>
      </c>
      <c r="T58">
        <f>Table1[[#This Row],[Total_Penjualan]]</f>
        <v>135000</v>
      </c>
      <c r="U58" t="str">
        <f>PROPER(Table1[[#This Row],[Kota]])</f>
        <v>Surabaya</v>
      </c>
      <c r="V58" t="str">
        <f>PROPER(Table1[[#This Row],[Metode_Pembayaran]])</f>
        <v>Tunai</v>
      </c>
    </row>
    <row r="59" spans="1:22" x14ac:dyDescent="0.25">
      <c r="A59" s="8" t="s">
        <v>1357</v>
      </c>
      <c r="B59" s="5" t="s">
        <v>229</v>
      </c>
      <c r="C59" s="5" t="s">
        <v>987</v>
      </c>
      <c r="D59" s="5" t="s">
        <v>19</v>
      </c>
      <c r="E59" s="5" t="s">
        <v>988</v>
      </c>
      <c r="F59" s="5">
        <v>9</v>
      </c>
      <c r="G59" s="5">
        <v>9000</v>
      </c>
      <c r="H59" s="5">
        <v>81000</v>
      </c>
      <c r="I59" s="5" t="s">
        <v>989</v>
      </c>
      <c r="J59" s="6" t="s">
        <v>884</v>
      </c>
      <c r="M59" s="10">
        <f>DATEVALUE(SUBSTITUTE(SUBSTITUTE(SUBSTITUTE(SUBSTITUTE(SUBSTITUTE(SUBSTITUTE(SUBSTITUTE(SUBSTITUTE(SUBSTITUTE(SUBSTITUTE(SUBSTITUTE(SUBSTITUTE(Table1[[#This Row],[Tanggal]],"Jan", "Jan"),"Feb","Feb"),"Mar","Mar"),"Apr","Apr"),"Mei","May"),"Jun","Jun"),"Jul","Jul"),"Agu","Aug"),"Sep","Sep"),"Okt","Oct"),"Nov","Nov"),"Des","Dec"))</f>
        <v>45444</v>
      </c>
      <c r="N59" t="str">
        <f>Table1[[#This Row],[ID_Transaksi]]</f>
        <v>INV-1058</v>
      </c>
      <c r="O59" s="5" t="str">
        <f>PROPER(TRIM(SUBSTITUTE(Table1[[#This Row],[Nama_Toko]],"""","")))</f>
        <v>Grosir Pangan</v>
      </c>
      <c r="P59" s="3" t="str">
        <f>PROPER(TRIM(Table1[[#This Row],[Kategori_Produk]]))</f>
        <v>Minuman</v>
      </c>
      <c r="Q59" t="str">
        <f>PROPER(TRIM(Table1[Nama Produk]))</f>
        <v>Teh Hijau Botol 350Ml</v>
      </c>
      <c r="R59">
        <f>Table1[[#This Row],[Qty]]</f>
        <v>9</v>
      </c>
      <c r="S59" t="str">
        <f>SUBSTITUTE(SUBSTITUTE(Table1[[#This Row],[Harga_Satuan]],"Rp.",""),".","")</f>
        <v>9000</v>
      </c>
      <c r="T59">
        <f>Table1[[#This Row],[Total_Penjualan]]</f>
        <v>81000</v>
      </c>
      <c r="U59" t="str">
        <f>PROPER(Table1[[#This Row],[Kota]])</f>
        <v>Depok</v>
      </c>
      <c r="V59" t="str">
        <f>PROPER(Table1[[#This Row],[Metode_Pembayaran]])</f>
        <v>Kartu Debit</v>
      </c>
    </row>
    <row r="60" spans="1:22" x14ac:dyDescent="0.25">
      <c r="A60" s="7" t="s">
        <v>1358</v>
      </c>
      <c r="B60" s="3" t="s">
        <v>232</v>
      </c>
      <c r="C60" s="3" t="s">
        <v>990</v>
      </c>
      <c r="D60" s="3" t="s">
        <v>886</v>
      </c>
      <c r="E60" s="3" t="s">
        <v>234</v>
      </c>
      <c r="F60" s="3">
        <v>2</v>
      </c>
      <c r="G60" s="3">
        <v>120000</v>
      </c>
      <c r="H60" s="3">
        <v>240000</v>
      </c>
      <c r="I60" s="3" t="s">
        <v>968</v>
      </c>
      <c r="J60" s="4" t="s">
        <v>888</v>
      </c>
      <c r="M60" s="10">
        <f>DATEVALUE(SUBSTITUTE(SUBSTITUTE(SUBSTITUTE(SUBSTITUTE(SUBSTITUTE(SUBSTITUTE(SUBSTITUTE(SUBSTITUTE(SUBSTITUTE(SUBSTITUTE(SUBSTITUTE(SUBSTITUTE(Table1[[#This Row],[Tanggal]],"Jan", "Jan"),"Feb","Feb"),"Mar","Mar"),"Apr","Apr"),"Mei","May"),"Jun","Jun"),"Jul","Jul"),"Agu","Aug"),"Sep","Sep"),"Okt","Oct"),"Nov","Nov"),"Des","Dec"))</f>
        <v>45458</v>
      </c>
      <c r="N60" t="str">
        <f>Table1[[#This Row],[ID_Transaksi]]</f>
        <v>TRX-1059</v>
      </c>
      <c r="O60" s="5" t="str">
        <f>PROPER(TRIM(SUBSTITUTE(Table1[[#This Row],[Nama_Toko]],"""","")))</f>
        <v>Warung Jaya</v>
      </c>
      <c r="P60" s="3" t="str">
        <f>PROPER(TRIM(Table1[[#This Row],[Kategori_Produk]]))</f>
        <v>Elektronik</v>
      </c>
      <c r="Q60" t="str">
        <f>PROPER(TRIM(Table1[Nama Produk]))</f>
        <v>Speaker Bluetooth Kecil</v>
      </c>
      <c r="R60">
        <f>Table1[[#This Row],[Qty]]</f>
        <v>2</v>
      </c>
      <c r="S60" t="str">
        <f>SUBSTITUTE(SUBSTITUTE(Table1[[#This Row],[Harga_Satuan]],"Rp.",""),".","")</f>
        <v>120000</v>
      </c>
      <c r="T60">
        <f>Table1[[#This Row],[Total_Penjualan]]</f>
        <v>240000</v>
      </c>
      <c r="U60" t="str">
        <f>PROPER(Table1[[#This Row],[Kota]])</f>
        <v>Jakarta Selatan</v>
      </c>
      <c r="V60" t="str">
        <f>PROPER(Table1[[#This Row],[Metode_Pembayaran]])</f>
        <v>Kartu Kredit</v>
      </c>
    </row>
    <row r="61" spans="1:22" x14ac:dyDescent="0.25">
      <c r="A61" s="8" t="s">
        <v>1359</v>
      </c>
      <c r="B61" s="5" t="s">
        <v>236</v>
      </c>
      <c r="C61" s="5" t="s">
        <v>991</v>
      </c>
      <c r="D61" s="5" t="s">
        <v>890</v>
      </c>
      <c r="E61" s="5" t="s">
        <v>238</v>
      </c>
      <c r="F61" s="5">
        <v>6</v>
      </c>
      <c r="G61" s="5">
        <v>15000</v>
      </c>
      <c r="H61" s="5">
        <v>90000</v>
      </c>
      <c r="I61" s="5" t="s">
        <v>899</v>
      </c>
      <c r="J61" s="6" t="s">
        <v>893</v>
      </c>
      <c r="M61" s="10">
        <f>DATEVALUE(SUBSTITUTE(SUBSTITUTE(SUBSTITUTE(SUBSTITUTE(SUBSTITUTE(SUBSTITUTE(SUBSTITUTE(SUBSTITUTE(SUBSTITUTE(SUBSTITUTE(SUBSTITUTE(SUBSTITUTE(Table1[[#This Row],[Tanggal]],"Jan", "Jan"),"Feb","Feb"),"Mar","Mar"),"Apr","Apr"),"Mei","May"),"Jun","Jun"),"Jul","Jul"),"Agu","Aug"),"Sep","Sep"),"Okt","Oct"),"Nov","Nov"),"Des","Dec"))</f>
        <v>45468</v>
      </c>
      <c r="N61" t="str">
        <f>Table1[[#This Row],[ID_Transaksi]]</f>
        <v>INV-1060</v>
      </c>
      <c r="O61" s="5" t="str">
        <f>PROPER(TRIM(SUBSTITUTE(Table1[[#This Row],[Nama_Toko]],"""","")))</f>
        <v>Gudang Utama</v>
      </c>
      <c r="P61" s="3" t="str">
        <f>PROPER(TRIM(Table1[[#This Row],[Kategori_Produk]]))</f>
        <v>Kecantikan</v>
      </c>
      <c r="Q61" t="str">
        <f>PROPER(TRIM(Table1[Nama Produk]))</f>
        <v>Cat Kuku Warna Pastel</v>
      </c>
      <c r="R61">
        <f>Table1[[#This Row],[Qty]]</f>
        <v>6</v>
      </c>
      <c r="S61" t="str">
        <f>SUBSTITUTE(SUBSTITUTE(Table1[[#This Row],[Harga_Satuan]],"Rp.",""),".","")</f>
        <v>15000</v>
      </c>
      <c r="T61">
        <f>Table1[[#This Row],[Total_Penjualan]]</f>
        <v>90000</v>
      </c>
      <c r="U61" t="str">
        <f>PROPER(Table1[[#This Row],[Kota]])</f>
        <v>Medan</v>
      </c>
      <c r="V61" t="str">
        <f>PROPER(Table1[[#This Row],[Metode_Pembayaran]])</f>
        <v>Tunai</v>
      </c>
    </row>
    <row r="62" spans="1:22" x14ac:dyDescent="0.25">
      <c r="A62" s="7" t="s">
        <v>1360</v>
      </c>
      <c r="B62" s="3" t="s">
        <v>240</v>
      </c>
      <c r="C62" s="3" t="s">
        <v>993</v>
      </c>
      <c r="D62" s="3" t="s">
        <v>895</v>
      </c>
      <c r="E62" s="3" t="s">
        <v>994</v>
      </c>
      <c r="F62" s="3">
        <v>5</v>
      </c>
      <c r="G62" s="3">
        <v>38000</v>
      </c>
      <c r="H62" s="3">
        <v>190000</v>
      </c>
      <c r="I62" s="3" t="s">
        <v>913</v>
      </c>
      <c r="J62" s="4" t="s">
        <v>884</v>
      </c>
      <c r="M62" s="10">
        <f>DATEVALUE(SUBSTITUTE(SUBSTITUTE(SUBSTITUTE(SUBSTITUTE(SUBSTITUTE(SUBSTITUTE(SUBSTITUTE(SUBSTITUTE(SUBSTITUTE(SUBSTITUTE(SUBSTITUTE(SUBSTITUTE(Table1[[#This Row],[Tanggal]],"Jan", "Jan"),"Feb","Feb"),"Mar","Mar"),"Apr","Apr"),"Mei","May"),"Jun","Jun"),"Jul","Jul"),"Agu","Aug"),"Sep","Sep"),"Okt","Oct"),"Nov","Nov"),"Des","Dec"))</f>
        <v>45478</v>
      </c>
      <c r="N62" t="str">
        <f>Table1[[#This Row],[ID_Transaksi]]</f>
        <v>TRX-1061</v>
      </c>
      <c r="O62" s="5" t="str">
        <f>PROPER(TRIM(SUBSTITUTE(Table1[[#This Row],[Nama_Toko]],"""","")))</f>
        <v>Toko Sejahtera</v>
      </c>
      <c r="P62" s="3" t="str">
        <f>PROPER(TRIM(Table1[[#This Row],[Kategori_Produk]]))</f>
        <v>Makanan</v>
      </c>
      <c r="Q62" t="str">
        <f>PROPER(TRIM(Table1[Nama Produk]))</f>
        <v>Minyak Goreng 2L</v>
      </c>
      <c r="R62">
        <f>Table1[[#This Row],[Qty]]</f>
        <v>5</v>
      </c>
      <c r="S62" t="str">
        <f>SUBSTITUTE(SUBSTITUTE(Table1[[#This Row],[Harga_Satuan]],"Rp.",""),".","")</f>
        <v>38000</v>
      </c>
      <c r="T62">
        <f>Table1[[#This Row],[Total_Penjualan]]</f>
        <v>190000</v>
      </c>
      <c r="U62" t="str">
        <f>PROPER(Table1[[#This Row],[Kota]])</f>
        <v>Yogyakarta</v>
      </c>
      <c r="V62" t="str">
        <f>PROPER(Table1[[#This Row],[Metode_Pembayaran]])</f>
        <v>Kartu Debit</v>
      </c>
    </row>
    <row r="63" spans="1:22" x14ac:dyDescent="0.25">
      <c r="A63" s="8" t="s">
        <v>1361</v>
      </c>
      <c r="B63" s="5" t="s">
        <v>244</v>
      </c>
      <c r="C63" s="5" t="s">
        <v>995</v>
      </c>
      <c r="D63" s="5" t="s">
        <v>43</v>
      </c>
      <c r="E63" s="5" t="s">
        <v>246</v>
      </c>
      <c r="F63" s="5">
        <v>10</v>
      </c>
      <c r="G63" s="5">
        <v>45000</v>
      </c>
      <c r="H63" s="5">
        <v>450000</v>
      </c>
      <c r="I63" s="5" t="s">
        <v>996</v>
      </c>
      <c r="J63" s="6" t="s">
        <v>880</v>
      </c>
      <c r="M63" s="10">
        <f>DATEVALUE(SUBSTITUTE(SUBSTITUTE(SUBSTITUTE(SUBSTITUTE(SUBSTITUTE(SUBSTITUTE(SUBSTITUTE(SUBSTITUTE(SUBSTITUTE(SUBSTITUTE(SUBSTITUTE(SUBSTITUTE(Table1[[#This Row],[Tanggal]],"Jan", "Jan"),"Feb","Feb"),"Mar","Mar"),"Apr","Apr"),"Mei","May"),"Jun","Jun"),"Jul","Jul"),"Agu","Aug"),"Sep","Sep"),"Okt","Oct"),"Nov","Nov"),"Des","Dec"))</f>
        <v>45488</v>
      </c>
      <c r="N63" t="str">
        <f>Table1[[#This Row],[ID_Transaksi]]</f>
        <v>INV-1062</v>
      </c>
      <c r="O63" s="5" t="str">
        <f>PROPER(TRIM(SUBSTITUTE(Table1[[#This Row],[Nama_Toko]],"""","")))</f>
        <v>Pasar Raya</v>
      </c>
      <c r="P63" s="3" t="str">
        <f>PROPER(TRIM(Table1[[#This Row],[Kategori_Produk]]))</f>
        <v>Pakaian</v>
      </c>
      <c r="Q63" t="str">
        <f>PROPER(TRIM(Table1[Nama Produk]))</f>
        <v>Topi Baseball Dewasa</v>
      </c>
      <c r="R63">
        <f>Table1[[#This Row],[Qty]]</f>
        <v>10</v>
      </c>
      <c r="S63" t="str">
        <f>SUBSTITUTE(SUBSTITUTE(Table1[[#This Row],[Harga_Satuan]],"Rp.",""),".","")</f>
        <v>45000</v>
      </c>
      <c r="T63">
        <f>Table1[[#This Row],[Total_Penjualan]]</f>
        <v>450000</v>
      </c>
      <c r="U63" t="str">
        <f>PROPER(Table1[[#This Row],[Kota]])</f>
        <v>Malang</v>
      </c>
      <c r="V63" t="str">
        <f>PROPER(Table1[[#This Row],[Metode_Pembayaran]])</f>
        <v>Tunai</v>
      </c>
    </row>
    <row r="64" spans="1:22" x14ac:dyDescent="0.25">
      <c r="A64" s="7" t="s">
        <v>1362</v>
      </c>
      <c r="B64" s="3" t="s">
        <v>248</v>
      </c>
      <c r="C64" s="3" t="s">
        <v>997</v>
      </c>
      <c r="D64" s="3" t="s">
        <v>901</v>
      </c>
      <c r="E64" s="3" t="s">
        <v>250</v>
      </c>
      <c r="F64" s="3">
        <v>1</v>
      </c>
      <c r="G64" s="3">
        <v>500000</v>
      </c>
      <c r="H64" s="3">
        <v>500000</v>
      </c>
      <c r="I64" s="3" t="s">
        <v>21</v>
      </c>
      <c r="J64" s="4" t="s">
        <v>29</v>
      </c>
      <c r="M64" s="10">
        <f>DATEVALUE(SUBSTITUTE(SUBSTITUTE(SUBSTITUTE(SUBSTITUTE(SUBSTITUTE(SUBSTITUTE(SUBSTITUTE(SUBSTITUTE(SUBSTITUTE(SUBSTITUTE(SUBSTITUTE(SUBSTITUTE(Table1[[#This Row],[Tanggal]],"Jan", "Jan"),"Feb","Feb"),"Mar","Mar"),"Apr","Apr"),"Mei","May"),"Jun","Jun"),"Jul","Jul"),"Agu","Aug"),"Sep","Sep"),"Okt","Oct"),"Nov","Nov"),"Des","Dec"))</f>
        <v>45498</v>
      </c>
      <c r="N64" t="str">
        <f>Table1[[#This Row],[ID_Transaksi]]</f>
        <v>TRX-1063</v>
      </c>
      <c r="O64" s="5" t="str">
        <f>PROPER(TRIM(SUBSTITUTE(Table1[[#This Row],[Nama_Toko]],"""","")))</f>
        <v>Minimarket Modern</v>
      </c>
      <c r="P64" s="3" t="str">
        <f>PROPER(TRIM(Table1[[#This Row],[Kategori_Produk]]))</f>
        <v>Mainan</v>
      </c>
      <c r="Q64" t="str">
        <f>PROPER(TRIM(Table1[Nama Produk]))</f>
        <v>Lego Set Bangunan Kota</v>
      </c>
      <c r="R64">
        <f>Table1[[#This Row],[Qty]]</f>
        <v>1</v>
      </c>
      <c r="S64" t="str">
        <f>SUBSTITUTE(SUBSTITUTE(Table1[[#This Row],[Harga_Satuan]],"Rp.",""),".","")</f>
        <v>500000</v>
      </c>
      <c r="T64">
        <f>Table1[[#This Row],[Total_Penjualan]]</f>
        <v>500000</v>
      </c>
      <c r="U64" t="str">
        <f>PROPER(Table1[[#This Row],[Kota]])</f>
        <v>Bandung</v>
      </c>
      <c r="V64" t="str">
        <f>PROPER(Table1[[#This Row],[Metode_Pembayaran]])</f>
        <v>Kartu Kredit</v>
      </c>
    </row>
    <row r="65" spans="1:22" x14ac:dyDescent="0.25">
      <c r="A65" s="8" t="s">
        <v>1363</v>
      </c>
      <c r="B65" s="5" t="s">
        <v>252</v>
      </c>
      <c r="C65" s="5" t="s">
        <v>998</v>
      </c>
      <c r="D65" s="5" t="s">
        <v>12</v>
      </c>
      <c r="E65" s="5" t="s">
        <v>254</v>
      </c>
      <c r="F65" s="5">
        <v>20</v>
      </c>
      <c r="G65" s="5">
        <v>5000</v>
      </c>
      <c r="H65" s="5">
        <v>100000</v>
      </c>
      <c r="I65" s="5" t="s">
        <v>53</v>
      </c>
      <c r="J65" s="6" t="s">
        <v>893</v>
      </c>
      <c r="M65" s="10">
        <f>DATEVALUE(SUBSTITUTE(SUBSTITUTE(SUBSTITUTE(SUBSTITUTE(SUBSTITUTE(SUBSTITUTE(SUBSTITUTE(SUBSTITUTE(SUBSTITUTE(SUBSTITUTE(SUBSTITUTE(SUBSTITUTE(Table1[[#This Row],[Tanggal]],"Jan", "Jan"),"Feb","Feb"),"Mar","Mar"),"Apr","Apr"),"Mei","May"),"Jun","Jun"),"Jul","Jul"),"Agu","Aug"),"Sep","Sep"),"Okt","Oct"),"Nov","Nov"),"Des","Dec"))</f>
        <v>45505</v>
      </c>
      <c r="N65" t="str">
        <f>Table1[[#This Row],[ID_Transaksi]]</f>
        <v>INV-1064</v>
      </c>
      <c r="O65" s="5" t="str">
        <f>PROPER(TRIM(SUBSTITUTE(Table1[[#This Row],[Nama_Toko]],"""","")))</f>
        <v>Toko Makmur</v>
      </c>
      <c r="P65" s="3" t="str">
        <f>PROPER(TRIM(Table1[[#This Row],[Kategori_Produk]]))</f>
        <v>Makanan</v>
      </c>
      <c r="Q65" t="str">
        <f>PROPER(TRIM(Table1[Nama Produk]))</f>
        <v>Bumbu Instan Nasi Goreng</v>
      </c>
      <c r="R65">
        <f>Table1[[#This Row],[Qty]]</f>
        <v>20</v>
      </c>
      <c r="S65" t="str">
        <f>SUBSTITUTE(SUBSTITUTE(Table1[[#This Row],[Harga_Satuan]],"Rp.",""),".","")</f>
        <v>5000</v>
      </c>
      <c r="T65">
        <f>Table1[[#This Row],[Total_Penjualan]]</f>
        <v>100000</v>
      </c>
      <c r="U65" t="str">
        <f>PROPER(Table1[[#This Row],[Kota]])</f>
        <v>Semarang</v>
      </c>
      <c r="V65" t="str">
        <f>PROPER(Table1[[#This Row],[Metode_Pembayaran]])</f>
        <v>Tunai</v>
      </c>
    </row>
    <row r="66" spans="1:22" x14ac:dyDescent="0.25">
      <c r="A66" s="7" t="s">
        <v>992</v>
      </c>
      <c r="B66" s="3" t="s">
        <v>256</v>
      </c>
      <c r="C66" s="3" t="s">
        <v>999</v>
      </c>
      <c r="D66" s="3" t="s">
        <v>19</v>
      </c>
      <c r="E66" s="3" t="s">
        <v>257</v>
      </c>
      <c r="F66" s="3">
        <v>14</v>
      </c>
      <c r="G66" s="3">
        <v>28000</v>
      </c>
      <c r="H66" s="3">
        <v>392000</v>
      </c>
      <c r="I66" s="3" t="s">
        <v>28</v>
      </c>
      <c r="J66" s="4" t="s">
        <v>884</v>
      </c>
      <c r="M66" s="10">
        <f>DATEVALUE(SUBSTITUTE(SUBSTITUTE(SUBSTITUTE(SUBSTITUTE(SUBSTITUTE(SUBSTITUTE(SUBSTITUTE(SUBSTITUTE(SUBSTITUTE(SUBSTITUTE(SUBSTITUTE(SUBSTITUTE(Table1[[#This Row],[Tanggal]],"Jan", "Jan"),"Feb","Feb"),"Mar","Mar"),"Apr","Apr"),"Mei","May"),"Jun","Jun"),"Jul","Jul"),"Agu","Aug"),"Sep","Sep"),"Okt","Oct"),"Nov","Nov"),"Des","Dec"))</f>
        <v>45514</v>
      </c>
      <c r="N66" t="str">
        <f>Table1[[#This Row],[ID_Transaksi]]</f>
        <v>TRX-1065</v>
      </c>
      <c r="O66" s="5" t="str">
        <f>PROPER(TRIM(SUBSTITUTE(Table1[[#This Row],[Nama_Toko]],"""","")))</f>
        <v>Grosir Segar</v>
      </c>
      <c r="P66" s="3" t="str">
        <f>PROPER(TRIM(Table1[[#This Row],[Kategori_Produk]]))</f>
        <v>Minuman</v>
      </c>
      <c r="Q66" t="str">
        <f>PROPER(TRIM(Table1[Nama Produk]))</f>
        <v>Kopi Instan Sachet Pack</v>
      </c>
      <c r="R66">
        <f>Table1[[#This Row],[Qty]]</f>
        <v>14</v>
      </c>
      <c r="S66" t="str">
        <f>SUBSTITUTE(SUBSTITUTE(Table1[[#This Row],[Harga_Satuan]],"Rp.",""),".","")</f>
        <v>28000</v>
      </c>
      <c r="T66">
        <f>Table1[[#This Row],[Total_Penjualan]]</f>
        <v>392000</v>
      </c>
      <c r="U66" t="str">
        <f>PROPER(Table1[[#This Row],[Kota]])</f>
        <v>Surabaya</v>
      </c>
      <c r="V66" t="str">
        <f>PROPER(Table1[[#This Row],[Metode_Pembayaran]])</f>
        <v>Kartu Debit</v>
      </c>
    </row>
    <row r="67" spans="1:22" x14ac:dyDescent="0.25">
      <c r="A67" s="8" t="s">
        <v>1364</v>
      </c>
      <c r="B67" s="5" t="s">
        <v>258</v>
      </c>
      <c r="C67" s="5" t="s">
        <v>1000</v>
      </c>
      <c r="D67" s="5" t="s">
        <v>886</v>
      </c>
      <c r="E67" s="5" t="s">
        <v>1001</v>
      </c>
      <c r="F67" s="5">
        <v>2</v>
      </c>
      <c r="G67" s="5">
        <v>75000</v>
      </c>
      <c r="H67" s="5">
        <v>150000</v>
      </c>
      <c r="I67" s="5" t="s">
        <v>923</v>
      </c>
      <c r="J67" s="6" t="s">
        <v>888</v>
      </c>
      <c r="M67" s="10">
        <f>DATEVALUE(SUBSTITUTE(SUBSTITUTE(SUBSTITUTE(SUBSTITUTE(SUBSTITUTE(SUBSTITUTE(SUBSTITUTE(SUBSTITUTE(SUBSTITUTE(SUBSTITUTE(SUBSTITUTE(SUBSTITUTE(Table1[[#This Row],[Tanggal]],"Jan", "Jan"),"Feb","Feb"),"Mar","Mar"),"Apr","Apr"),"Mei","May"),"Jun","Jun"),"Jul","Jul"),"Agu","Aug"),"Sep","Sep"),"Okt","Oct"),"Nov","Nov"),"Des","Dec"))</f>
        <v>45524</v>
      </c>
      <c r="N67" t="str">
        <f>Table1[[#This Row],[ID_Transaksi]]</f>
        <v>INV-1066</v>
      </c>
      <c r="O67" s="5" t="str">
        <f>PROPER(TRIM(SUBSTITUTE(Table1[[#This Row],[Nama_Toko]],"""","")))</f>
        <v>Warung Baru</v>
      </c>
      <c r="P67" s="3" t="str">
        <f>PROPER(TRIM(Table1[[#This Row],[Kategori_Produk]]))</f>
        <v>Elektronik</v>
      </c>
      <c r="Q67" t="str">
        <f>PROPER(TRIM(Table1[Nama Produk]))</f>
        <v>Lampu Emergency Led</v>
      </c>
      <c r="R67">
        <f>Table1[[#This Row],[Qty]]</f>
        <v>2</v>
      </c>
      <c r="S67" t="str">
        <f>SUBSTITUTE(SUBSTITUTE(Table1[[#This Row],[Harga_Satuan]],"Rp.",""),".","")</f>
        <v>75000</v>
      </c>
      <c r="T67">
        <f>Table1[[#This Row],[Total_Penjualan]]</f>
        <v>150000</v>
      </c>
      <c r="U67" t="str">
        <f>PROPER(Table1[[#This Row],[Kota]])</f>
        <v>Denpasar</v>
      </c>
      <c r="V67" t="str">
        <f>PROPER(Table1[[#This Row],[Metode_Pembayaran]])</f>
        <v>Kartu Kredit</v>
      </c>
    </row>
    <row r="68" spans="1:22" x14ac:dyDescent="0.25">
      <c r="A68" s="7" t="s">
        <v>1365</v>
      </c>
      <c r="B68" s="3" t="s">
        <v>262</v>
      </c>
      <c r="C68" s="3" t="s">
        <v>1003</v>
      </c>
      <c r="D68" s="3" t="s">
        <v>890</v>
      </c>
      <c r="E68" s="3" t="s">
        <v>264</v>
      </c>
      <c r="F68" s="3">
        <v>4</v>
      </c>
      <c r="G68" s="3">
        <v>30000</v>
      </c>
      <c r="H68" s="3">
        <v>120000</v>
      </c>
      <c r="I68" s="3" t="s">
        <v>1004</v>
      </c>
      <c r="J68" s="4" t="s">
        <v>893</v>
      </c>
      <c r="M68" s="10">
        <f>DATEVALUE(SUBSTITUTE(SUBSTITUTE(SUBSTITUTE(SUBSTITUTE(SUBSTITUTE(SUBSTITUTE(SUBSTITUTE(SUBSTITUTE(SUBSTITUTE(SUBSTITUTE(SUBSTITUTE(SUBSTITUTE(Table1[[#This Row],[Tanggal]],"Jan", "Jan"),"Feb","Feb"),"Mar","Mar"),"Apr","Apr"),"Mei","May"),"Jun","Jun"),"Jul","Jul"),"Agu","Aug"),"Sep","Sep"),"Okt","Oct"),"Nov","Nov"),"Des","Dec"))</f>
        <v>45536</v>
      </c>
      <c r="N68" t="str">
        <f>Table1[[#This Row],[ID_Transaksi]]</f>
        <v>TRX-1067</v>
      </c>
      <c r="O68" s="5" t="str">
        <f>PROPER(TRIM(SUBSTITUTE(Table1[[#This Row],[Nama_Toko]],"""","")))</f>
        <v>Gudang Pemasok</v>
      </c>
      <c r="P68" s="3" t="str">
        <f>PROPER(TRIM(Table1[[#This Row],[Kategori_Produk]]))</f>
        <v>Kecantikan</v>
      </c>
      <c r="Q68" t="str">
        <f>PROPER(TRIM(Table1[Nama Produk]))</f>
        <v>Sabun Cuci Muka Pria</v>
      </c>
      <c r="R68">
        <f>Table1[[#This Row],[Qty]]</f>
        <v>4</v>
      </c>
      <c r="S68" t="str">
        <f>SUBSTITUTE(SUBSTITUTE(Table1[[#This Row],[Harga_Satuan]],"Rp.",""),".","")</f>
        <v>30000</v>
      </c>
      <c r="T68">
        <f>Table1[[#This Row],[Total_Penjualan]]</f>
        <v>120000</v>
      </c>
      <c r="U68" t="str">
        <f>PROPER(Table1[[#This Row],[Kota]])</f>
        <v>Jakarta</v>
      </c>
      <c r="V68" t="str">
        <f>PROPER(Table1[[#This Row],[Metode_Pembayaran]])</f>
        <v>Tunai</v>
      </c>
    </row>
    <row r="69" spans="1:22" x14ac:dyDescent="0.25">
      <c r="A69" s="8" t="s">
        <v>1366</v>
      </c>
      <c r="B69" s="3" t="s">
        <v>266</v>
      </c>
      <c r="C69" s="5" t="s">
        <v>1005</v>
      </c>
      <c r="D69" s="5" t="s">
        <v>895</v>
      </c>
      <c r="E69" s="5" t="s">
        <v>1006</v>
      </c>
      <c r="F69" s="5">
        <v>8</v>
      </c>
      <c r="G69" s="5">
        <v>16000</v>
      </c>
      <c r="H69" s="5">
        <v>128000</v>
      </c>
      <c r="I69" s="5" t="s">
        <v>915</v>
      </c>
      <c r="J69" s="6" t="s">
        <v>884</v>
      </c>
      <c r="M69" s="10">
        <f>DATEVALUE(SUBSTITUTE(SUBSTITUTE(SUBSTITUTE(SUBSTITUTE(SUBSTITUTE(SUBSTITUTE(SUBSTITUTE(SUBSTITUTE(SUBSTITUTE(SUBSTITUTE(SUBSTITUTE(SUBSTITUTE(Table1[[#This Row],[Tanggal]],"Jan", "Jan"),"Feb","Feb"),"Mar","Mar"),"Apr","Apr"),"Mei","May"),"Jun","Jun"),"Jul","Jul"),"Agu","Aug"),"Sep","Sep"),"Okt","Oct"),"Nov","Nov"),"Des","Dec"))</f>
        <v>45550</v>
      </c>
      <c r="N69" t="str">
        <f>Table1[[#This Row],[ID_Transaksi]]</f>
        <v>TRX-1068</v>
      </c>
      <c r="O69" s="5" t="str">
        <f>PROPER(TRIM(SUBSTITUTE(Table1[[#This Row],[Nama_Toko]],"""","")))</f>
        <v>Toko Ceria</v>
      </c>
      <c r="P69" s="3" t="str">
        <f>PROPER(TRIM(Table1[[#This Row],[Kategori_Produk]]))</f>
        <v>Makanan</v>
      </c>
      <c r="Q69" t="str">
        <f>PROPER(TRIM(Table1[Nama Produk]))</f>
        <v>Margarin Kemasan Kecil</v>
      </c>
      <c r="R69">
        <f>Table1[[#This Row],[Qty]]</f>
        <v>8</v>
      </c>
      <c r="S69" t="str">
        <f>SUBSTITUTE(SUBSTITUTE(Table1[[#This Row],[Harga_Satuan]],"Rp.",""),".","")</f>
        <v>16000</v>
      </c>
      <c r="T69">
        <f>Table1[[#This Row],[Total_Penjualan]]</f>
        <v>128000</v>
      </c>
      <c r="U69" t="str">
        <f>PROPER(Table1[[#This Row],[Kota]])</f>
        <v>Medan</v>
      </c>
      <c r="V69" t="str">
        <f>PROPER(Table1[[#This Row],[Metode_Pembayaran]])</f>
        <v>Kartu Debit</v>
      </c>
    </row>
    <row r="70" spans="1:22" x14ac:dyDescent="0.25">
      <c r="A70" s="7" t="s">
        <v>1367</v>
      </c>
      <c r="B70" s="3" t="s">
        <v>269</v>
      </c>
      <c r="C70" s="3" t="s">
        <v>1007</v>
      </c>
      <c r="D70" s="3" t="s">
        <v>43</v>
      </c>
      <c r="E70" s="3" t="s">
        <v>271</v>
      </c>
      <c r="F70" s="3">
        <v>12</v>
      </c>
      <c r="G70" s="3">
        <v>15000</v>
      </c>
      <c r="H70" s="3">
        <v>180000</v>
      </c>
      <c r="I70" s="3" t="s">
        <v>913</v>
      </c>
      <c r="J70" s="4" t="s">
        <v>880</v>
      </c>
      <c r="M70" s="10">
        <f>DATEVALUE(SUBSTITUTE(SUBSTITUTE(SUBSTITUTE(SUBSTITUTE(SUBSTITUTE(SUBSTITUTE(SUBSTITUTE(SUBSTITUTE(SUBSTITUTE(SUBSTITUTE(SUBSTITUTE(SUBSTITUTE(Table1[[#This Row],[Tanggal]],"Jan", "Jan"),"Feb","Feb"),"Mar","Mar"),"Apr","Apr"),"Mei","May"),"Jun","Jun"),"Jul","Jul"),"Agu","Aug"),"Sep","Sep"),"Okt","Oct"),"Nov","Nov"),"Des","Dec"))</f>
        <v>45560</v>
      </c>
      <c r="N70" t="str">
        <f>Table1[[#This Row],[ID_Transaksi]]</f>
        <v>INV-1069</v>
      </c>
      <c r="O70" s="5" t="str">
        <f>PROPER(TRIM(SUBSTITUTE(Table1[[#This Row],[Nama_Toko]],"""","")))</f>
        <v>Pasar Sore</v>
      </c>
      <c r="P70" s="3" t="str">
        <f>PROPER(TRIM(Table1[[#This Row],[Kategori_Produk]]))</f>
        <v>Pakaian</v>
      </c>
      <c r="Q70" t="str">
        <f>PROPER(TRIM(Table1[Nama Produk]))</f>
        <v>Kaus Kaki Sport</v>
      </c>
      <c r="R70">
        <f>Table1[[#This Row],[Qty]]</f>
        <v>12</v>
      </c>
      <c r="S70" t="str">
        <f>SUBSTITUTE(SUBSTITUTE(Table1[[#This Row],[Harga_Satuan]],"Rp.",""),".","")</f>
        <v>15000</v>
      </c>
      <c r="T70">
        <f>Table1[[#This Row],[Total_Penjualan]]</f>
        <v>180000</v>
      </c>
      <c r="U70" t="str">
        <f>PROPER(Table1[[#This Row],[Kota]])</f>
        <v>Yogyakarta</v>
      </c>
      <c r="V70" t="str">
        <f>PROPER(Table1[[#This Row],[Metode_Pembayaran]])</f>
        <v>Tunai</v>
      </c>
    </row>
    <row r="71" spans="1:22" x14ac:dyDescent="0.25">
      <c r="A71" s="8" t="s">
        <v>1368</v>
      </c>
      <c r="B71" s="5" t="s">
        <v>273</v>
      </c>
      <c r="C71" s="5" t="s">
        <v>1008</v>
      </c>
      <c r="D71" s="5" t="s">
        <v>901</v>
      </c>
      <c r="E71" s="5" t="s">
        <v>275</v>
      </c>
      <c r="F71" s="5">
        <v>1</v>
      </c>
      <c r="G71" s="5">
        <v>100000</v>
      </c>
      <c r="H71" s="5">
        <v>100000</v>
      </c>
      <c r="I71" s="5" t="s">
        <v>960</v>
      </c>
      <c r="J71" s="6" t="s">
        <v>29</v>
      </c>
      <c r="M71" s="10">
        <f>DATEVALUE(SUBSTITUTE(SUBSTITUTE(SUBSTITUTE(SUBSTITUTE(SUBSTITUTE(SUBSTITUTE(SUBSTITUTE(SUBSTITUTE(SUBSTITUTE(SUBSTITUTE(SUBSTITUTE(SUBSTITUTE(Table1[[#This Row],[Tanggal]],"Jan", "Jan"),"Feb","Feb"),"Mar","Mar"),"Apr","Apr"),"Mei","May"),"Jun","Jun"),"Jul","Jul"),"Agu","Aug"),"Sep","Sep"),"Okt","Oct"),"Nov","Nov"),"Des","Dec"))</f>
        <v>45570</v>
      </c>
      <c r="N71" t="str">
        <f>Table1[[#This Row],[ID_Transaksi]]</f>
        <v>TRX-1070</v>
      </c>
      <c r="O71" s="5" t="str">
        <f>PROPER(TRIM(SUBSTITUTE(Table1[[#This Row],[Nama_Toko]],"""","")))</f>
        <v>Minimarket Tumbuh</v>
      </c>
      <c r="P71" s="3" t="str">
        <f>PROPER(TRIM(Table1[[#This Row],[Kategori_Produk]]))</f>
        <v>Mainan</v>
      </c>
      <c r="Q71" t="str">
        <f>PROPER(TRIM(Table1[Nama Produk]))</f>
        <v>Bola Kaki Standar</v>
      </c>
      <c r="R71">
        <f>Table1[[#This Row],[Qty]]</f>
        <v>1</v>
      </c>
      <c r="S71" t="str">
        <f>SUBSTITUTE(SUBSTITUTE(Table1[[#This Row],[Harga_Satuan]],"Rp.",""),".","")</f>
        <v>100000</v>
      </c>
      <c r="T71">
        <f>Table1[[#This Row],[Total_Penjualan]]</f>
        <v>100000</v>
      </c>
      <c r="U71" t="str">
        <f>PROPER(Table1[[#This Row],[Kota]])</f>
        <v>Malang</v>
      </c>
      <c r="V71" t="str">
        <f>PROPER(Table1[[#This Row],[Metode_Pembayaran]])</f>
        <v>Kartu Kredit</v>
      </c>
    </row>
    <row r="72" spans="1:22" x14ac:dyDescent="0.25">
      <c r="A72" s="7" t="s">
        <v>1002</v>
      </c>
      <c r="B72" s="3" t="s">
        <v>276</v>
      </c>
      <c r="C72" s="3" t="s">
        <v>1009</v>
      </c>
      <c r="D72" s="3" t="s">
        <v>12</v>
      </c>
      <c r="E72" s="3" t="s">
        <v>278</v>
      </c>
      <c r="F72" s="3">
        <v>6</v>
      </c>
      <c r="G72" s="3">
        <v>22000</v>
      </c>
      <c r="H72" s="3">
        <v>132000</v>
      </c>
      <c r="I72" s="3" t="s">
        <v>883</v>
      </c>
      <c r="J72" s="4" t="s">
        <v>893</v>
      </c>
      <c r="M72" s="10">
        <f>DATEVALUE(SUBSTITUTE(SUBSTITUTE(SUBSTITUTE(SUBSTITUTE(SUBSTITUTE(SUBSTITUTE(SUBSTITUTE(SUBSTITUTE(SUBSTITUTE(SUBSTITUTE(SUBSTITUTE(SUBSTITUTE(Table1[[#This Row],[Tanggal]],"Jan", "Jan"),"Feb","Feb"),"Mar","Mar"),"Apr","Apr"),"Mei","May"),"Jun","Jun"),"Jul","Jul"),"Agu","Aug"),"Sep","Sep"),"Okt","Oct"),"Nov","Nov"),"Des","Dec"))</f>
        <v>45580</v>
      </c>
      <c r="N72" t="str">
        <f>Table1[[#This Row],[ID_Transaksi]]</f>
        <v>INV-1071</v>
      </c>
      <c r="O72" s="5" t="str">
        <f>PROPER(TRIM(SUBSTITUTE(Table1[[#This Row],[Nama_Toko]],"""","")))</f>
        <v>Toko Unggul</v>
      </c>
      <c r="P72" s="3" t="str">
        <f>PROPER(TRIM(Table1[[#This Row],[Kategori_Produk]]))</f>
        <v>Makanan</v>
      </c>
      <c r="Q72" t="str">
        <f>PROPER(TRIM(Table1[Nama Produk]))</f>
        <v>Sosis Sapi Kemasan</v>
      </c>
      <c r="R72">
        <f>Table1[[#This Row],[Qty]]</f>
        <v>6</v>
      </c>
      <c r="S72" t="str">
        <f>SUBSTITUTE(SUBSTITUTE(Table1[[#This Row],[Harga_Satuan]],"Rp.",""),".","")</f>
        <v>22000</v>
      </c>
      <c r="T72">
        <f>Table1[[#This Row],[Total_Penjualan]]</f>
        <v>132000</v>
      </c>
      <c r="U72" t="str">
        <f>PROPER(Table1[[#This Row],[Kota]])</f>
        <v>Bandung</v>
      </c>
      <c r="V72" t="str">
        <f>PROPER(Table1[[#This Row],[Metode_Pembayaran]])</f>
        <v>Tunai</v>
      </c>
    </row>
    <row r="73" spans="1:22" x14ac:dyDescent="0.25">
      <c r="A73" s="8" t="s">
        <v>1369</v>
      </c>
      <c r="B73" s="5" t="s">
        <v>279</v>
      </c>
      <c r="C73" s="5" t="s">
        <v>1010</v>
      </c>
      <c r="D73" s="5" t="s">
        <v>19</v>
      </c>
      <c r="E73" s="5" t="s">
        <v>280</v>
      </c>
      <c r="F73" s="5">
        <v>3</v>
      </c>
      <c r="G73" s="5">
        <v>25000</v>
      </c>
      <c r="H73" s="5">
        <v>75000</v>
      </c>
      <c r="I73" s="5" t="s">
        <v>919</v>
      </c>
      <c r="J73" s="6" t="s">
        <v>884</v>
      </c>
      <c r="M73" s="10">
        <f>DATEVALUE(SUBSTITUTE(SUBSTITUTE(SUBSTITUTE(SUBSTITUTE(SUBSTITUTE(SUBSTITUTE(SUBSTITUTE(SUBSTITUTE(SUBSTITUTE(SUBSTITUTE(SUBSTITUTE(SUBSTITUTE(Table1[[#This Row],[Tanggal]],"Jan", "Jan"),"Feb","Feb"),"Mar","Mar"),"Apr","Apr"),"Mei","May"),"Jun","Jun"),"Jul","Jul"),"Agu","Aug"),"Sep","Sep"),"Okt","Oct"),"Nov","Nov"),"Des","Dec"))</f>
        <v>45590</v>
      </c>
      <c r="N73" t="str">
        <f>Table1[[#This Row],[ID_Transaksi]]</f>
        <v>TRX-1072</v>
      </c>
      <c r="O73" s="5" t="str">
        <f>PROPER(TRIM(SUBSTITUTE(Table1[[#This Row],[Nama_Toko]],"""","")))</f>
        <v>Grosir Terpercaya</v>
      </c>
      <c r="P73" s="3" t="str">
        <f>PROPER(TRIM(Table1[[#This Row],[Kategori_Produk]]))</f>
        <v>Minuman</v>
      </c>
      <c r="Q73" t="str">
        <f>PROPER(TRIM(Table1[Nama Produk]))</f>
        <v>Sirup Rasa Mangga Botol</v>
      </c>
      <c r="R73">
        <f>Table1[[#This Row],[Qty]]</f>
        <v>3</v>
      </c>
      <c r="S73" t="str">
        <f>SUBSTITUTE(SUBSTITUTE(Table1[[#This Row],[Harga_Satuan]],"Rp.",""),".","")</f>
        <v>25000</v>
      </c>
      <c r="T73">
        <f>Table1[[#This Row],[Total_Penjualan]]</f>
        <v>75000</v>
      </c>
      <c r="U73" t="str">
        <f>PROPER(Table1[[#This Row],[Kota]])</f>
        <v>Semarang</v>
      </c>
      <c r="V73" t="str">
        <f>PROPER(Table1[[#This Row],[Metode_Pembayaran]])</f>
        <v>Kartu Debit</v>
      </c>
    </row>
    <row r="74" spans="1:22" x14ac:dyDescent="0.25">
      <c r="A74" s="7" t="s">
        <v>1370</v>
      </c>
      <c r="B74" s="3" t="s">
        <v>282</v>
      </c>
      <c r="C74" s="3" t="s">
        <v>1012</v>
      </c>
      <c r="D74" s="3" t="s">
        <v>886</v>
      </c>
      <c r="E74" s="3" t="s">
        <v>1013</v>
      </c>
      <c r="F74" s="3">
        <v>1</v>
      </c>
      <c r="G74" s="3">
        <v>180000</v>
      </c>
      <c r="H74" s="3">
        <v>180000</v>
      </c>
      <c r="I74" s="3" t="s">
        <v>965</v>
      </c>
      <c r="J74" s="4" t="s">
        <v>888</v>
      </c>
      <c r="M74" s="10">
        <f>DATEVALUE(SUBSTITUTE(SUBSTITUTE(SUBSTITUTE(SUBSTITUTE(SUBSTITUTE(SUBSTITUTE(SUBSTITUTE(SUBSTITUTE(SUBSTITUTE(SUBSTITUTE(SUBSTITUTE(SUBSTITUTE(Table1[[#This Row],[Tanggal]],"Jan", "Jan"),"Feb","Feb"),"Mar","Mar"),"Apr","Apr"),"Mei","May"),"Jun","Jun"),"Jul","Jul"),"Agu","Aug"),"Sep","Sep"),"Okt","Oct"),"Nov","Nov"),"Des","Dec"))</f>
        <v>45597</v>
      </c>
      <c r="N74" t="str">
        <f>Table1[[#This Row],[ID_Transaksi]]</f>
        <v>INV-1073</v>
      </c>
      <c r="O74" s="5" t="str">
        <f>PROPER(TRIM(SUBSTITUTE(Table1[[#This Row],[Nama_Toko]],"""","")))</f>
        <v>Warung Bahagia</v>
      </c>
      <c r="P74" s="3" t="str">
        <f>PROPER(TRIM(Table1[[#This Row],[Kategori_Produk]]))</f>
        <v>Elektronik</v>
      </c>
      <c r="Q74" t="str">
        <f>PROPER(TRIM(Table1[Nama Produk]))</f>
        <v>Stabilizer Hp Genggam</v>
      </c>
      <c r="R74">
        <f>Table1[[#This Row],[Qty]]</f>
        <v>1</v>
      </c>
      <c r="S74" t="str">
        <f>SUBSTITUTE(SUBSTITUTE(Table1[[#This Row],[Harga_Satuan]],"Rp.",""),".","")</f>
        <v>180000</v>
      </c>
      <c r="T74">
        <f>Table1[[#This Row],[Total_Penjualan]]</f>
        <v>180000</v>
      </c>
      <c r="U74" t="str">
        <f>PROPER(Table1[[#This Row],[Kota]])</f>
        <v>Surabaya</v>
      </c>
      <c r="V74" t="str">
        <f>PROPER(Table1[[#This Row],[Metode_Pembayaran]])</f>
        <v>Kartu Kredit</v>
      </c>
    </row>
    <row r="75" spans="1:22" x14ac:dyDescent="0.25">
      <c r="A75" s="8" t="s">
        <v>1371</v>
      </c>
      <c r="B75" s="5" t="s">
        <v>286</v>
      </c>
      <c r="C75" s="5" t="s">
        <v>1014</v>
      </c>
      <c r="D75" s="5" t="s">
        <v>890</v>
      </c>
      <c r="E75" s="5" t="s">
        <v>287</v>
      </c>
      <c r="F75" s="5">
        <v>2</v>
      </c>
      <c r="G75" s="5">
        <v>65000</v>
      </c>
      <c r="H75" s="5">
        <v>130000</v>
      </c>
      <c r="I75" s="5" t="s">
        <v>937</v>
      </c>
      <c r="J75" s="6" t="s">
        <v>893</v>
      </c>
      <c r="M75" s="10">
        <f>DATEVALUE(SUBSTITUTE(SUBSTITUTE(SUBSTITUTE(SUBSTITUTE(SUBSTITUTE(SUBSTITUTE(SUBSTITUTE(SUBSTITUTE(SUBSTITUTE(SUBSTITUTE(SUBSTITUTE(SUBSTITUTE(Table1[[#This Row],[Tanggal]],"Jan", "Jan"),"Feb","Feb"),"Mar","Mar"),"Apr","Apr"),"Mei","May"),"Jun","Jun"),"Jul","Jul"),"Agu","Aug"),"Sep","Sep"),"Okt","Oct"),"Nov","Nov"),"Des","Dec"))</f>
        <v>45606</v>
      </c>
      <c r="N75" t="str">
        <f>Table1[[#This Row],[ID_Transaksi]]</f>
        <v>TRX-1074</v>
      </c>
      <c r="O75" s="5" t="str">
        <f>PROPER(TRIM(SUBSTITUTE(Table1[[#This Row],[Nama_Toko]],"""","")))</f>
        <v>Gudang Emas</v>
      </c>
      <c r="P75" s="3" t="str">
        <f>PROPER(TRIM(Table1[[#This Row],[Kategori_Produk]]))</f>
        <v>Kecantikan</v>
      </c>
      <c r="Q75" t="str">
        <f>PROPER(TRIM(Table1[Nama Produk]))</f>
        <v>Toner Wajah Hydrating</v>
      </c>
      <c r="R75">
        <f>Table1[[#This Row],[Qty]]</f>
        <v>2</v>
      </c>
      <c r="S75" t="str">
        <f>SUBSTITUTE(SUBSTITUTE(Table1[[#This Row],[Harga_Satuan]],"Rp.",""),".","")</f>
        <v>65000</v>
      </c>
      <c r="T75">
        <f>Table1[[#This Row],[Total_Penjualan]]</f>
        <v>130000</v>
      </c>
      <c r="U75" t="str">
        <f>PROPER(Table1[[#This Row],[Kota]])</f>
        <v>Depok</v>
      </c>
      <c r="V75" t="str">
        <f>PROPER(Table1[[#This Row],[Metode_Pembayaran]])</f>
        <v>Tunai</v>
      </c>
    </row>
    <row r="76" spans="1:22" x14ac:dyDescent="0.25">
      <c r="A76" s="7" t="s">
        <v>1372</v>
      </c>
      <c r="B76" s="3" t="s">
        <v>289</v>
      </c>
      <c r="C76" s="3" t="s">
        <v>1015</v>
      </c>
      <c r="D76" s="3" t="s">
        <v>895</v>
      </c>
      <c r="E76" s="3" t="s">
        <v>1016</v>
      </c>
      <c r="F76" s="3">
        <v>10</v>
      </c>
      <c r="G76" s="3">
        <v>14000</v>
      </c>
      <c r="H76" s="3">
        <v>140000</v>
      </c>
      <c r="I76" s="3" t="s">
        <v>968</v>
      </c>
      <c r="J76" s="4" t="s">
        <v>884</v>
      </c>
      <c r="M76" s="10">
        <f>DATEVALUE(SUBSTITUTE(SUBSTITUTE(SUBSTITUTE(SUBSTITUTE(SUBSTITUTE(SUBSTITUTE(SUBSTITUTE(SUBSTITUTE(SUBSTITUTE(SUBSTITUTE(SUBSTITUTE(SUBSTITUTE(Table1[[#This Row],[Tanggal]],"Jan", "Jan"),"Feb","Feb"),"Mar","Mar"),"Apr","Apr"),"Mei","May"),"Jun","Jun"),"Jul","Jul"),"Agu","Aug"),"Sep","Sep"),"Okt","Oct"),"Nov","Nov"),"Des","Dec"))</f>
        <v>45616</v>
      </c>
      <c r="N76" t="str">
        <f>Table1[[#This Row],[ID_Transaksi]]</f>
        <v>INV-1075</v>
      </c>
      <c r="O76" s="5" t="str">
        <f>PROPER(TRIM(SUBSTITUTE(Table1[[#This Row],[Nama_Toko]],"""","")))</f>
        <v>Toko Mega</v>
      </c>
      <c r="P76" s="3" t="str">
        <f>PROPER(TRIM(Table1[[#This Row],[Kategori_Produk]]))</f>
        <v>Makanan</v>
      </c>
      <c r="Q76" t="str">
        <f>PROPER(TRIM(Table1[Nama Produk]))</f>
        <v>Teh Kotak 1 L</v>
      </c>
      <c r="R76">
        <f>Table1[[#This Row],[Qty]]</f>
        <v>10</v>
      </c>
      <c r="S76" t="str">
        <f>SUBSTITUTE(SUBSTITUTE(Table1[[#This Row],[Harga_Satuan]],"Rp.",""),".","")</f>
        <v>14000</v>
      </c>
      <c r="T76">
        <f>Table1[[#This Row],[Total_Penjualan]]</f>
        <v>140000</v>
      </c>
      <c r="U76" t="str">
        <f>PROPER(Table1[[#This Row],[Kota]])</f>
        <v>Jakarta Selatan</v>
      </c>
      <c r="V76" t="str">
        <f>PROPER(Table1[[#This Row],[Metode_Pembayaran]])</f>
        <v>Kartu Debit</v>
      </c>
    </row>
    <row r="77" spans="1:22" x14ac:dyDescent="0.25">
      <c r="A77" s="8" t="s">
        <v>1373</v>
      </c>
      <c r="B77" s="5" t="s">
        <v>292</v>
      </c>
      <c r="C77" s="5" t="s">
        <v>1017</v>
      </c>
      <c r="D77" s="5" t="s">
        <v>43</v>
      </c>
      <c r="E77" s="5" t="s">
        <v>294</v>
      </c>
      <c r="F77" s="5">
        <v>1</v>
      </c>
      <c r="G77" s="5">
        <v>250000</v>
      </c>
      <c r="H77" s="5">
        <v>250000</v>
      </c>
      <c r="I77" s="5" t="s">
        <v>915</v>
      </c>
      <c r="J77" s="6" t="s">
        <v>880</v>
      </c>
      <c r="M77" s="10">
        <f>DATEVALUE(SUBSTITUTE(SUBSTITUTE(SUBSTITUTE(SUBSTITUTE(SUBSTITUTE(SUBSTITUTE(SUBSTITUTE(SUBSTITUTE(SUBSTITUTE(SUBSTITUTE(SUBSTITUTE(SUBSTITUTE(Table1[[#This Row],[Tanggal]],"Jan", "Jan"),"Feb","Feb"),"Mar","Mar"),"Apr","Apr"),"Mei","May"),"Jun","Jun"),"Jul","Jul"),"Agu","Aug"),"Sep","Sep"),"Okt","Oct"),"Nov","Nov"),"Des","Dec"))</f>
        <v>45627</v>
      </c>
      <c r="N77" t="str">
        <f>Table1[[#This Row],[ID_Transaksi]]</f>
        <v>TRX-1076</v>
      </c>
      <c r="O77" s="5" t="str">
        <f>PROPER(TRIM(SUBSTITUTE(Table1[[#This Row],[Nama_Toko]],"""","")))</f>
        <v>Pasar Induk</v>
      </c>
      <c r="P77" s="3" t="str">
        <f>PROPER(TRIM(Table1[[#This Row],[Kategori_Produk]]))</f>
        <v>Pakaian</v>
      </c>
      <c r="Q77" t="str">
        <f>PROPER(TRIM(Table1[Nama Produk]))</f>
        <v>Tas Ransel Laptop</v>
      </c>
      <c r="R77">
        <f>Table1[[#This Row],[Qty]]</f>
        <v>1</v>
      </c>
      <c r="S77" t="str">
        <f>SUBSTITUTE(SUBSTITUTE(Table1[[#This Row],[Harga_Satuan]],"Rp.",""),".","")</f>
        <v>250000</v>
      </c>
      <c r="T77">
        <f>Table1[[#This Row],[Total_Penjualan]]</f>
        <v>250000</v>
      </c>
      <c r="U77" t="str">
        <f>PROPER(Table1[[#This Row],[Kota]])</f>
        <v>Medan</v>
      </c>
      <c r="V77" t="str">
        <f>PROPER(Table1[[#This Row],[Metode_Pembayaran]])</f>
        <v>Tunai</v>
      </c>
    </row>
    <row r="78" spans="1:22" x14ac:dyDescent="0.25">
      <c r="A78" s="7" t="s">
        <v>1011</v>
      </c>
      <c r="B78" s="3" t="s">
        <v>296</v>
      </c>
      <c r="C78" s="3" t="s">
        <v>1018</v>
      </c>
      <c r="D78" s="3" t="s">
        <v>901</v>
      </c>
      <c r="E78" s="3" t="s">
        <v>1019</v>
      </c>
      <c r="F78" s="3">
        <v>1</v>
      </c>
      <c r="G78" s="3">
        <v>550000</v>
      </c>
      <c r="H78" s="3">
        <v>550000</v>
      </c>
      <c r="I78" s="3" t="s">
        <v>913</v>
      </c>
      <c r="J78" s="4" t="s">
        <v>29</v>
      </c>
      <c r="M78" s="10">
        <f>DATEVALUE(SUBSTITUTE(SUBSTITUTE(SUBSTITUTE(SUBSTITUTE(SUBSTITUTE(SUBSTITUTE(SUBSTITUTE(SUBSTITUTE(SUBSTITUTE(SUBSTITUTE(SUBSTITUTE(SUBSTITUTE(Table1[[#This Row],[Tanggal]],"Jan", "Jan"),"Feb","Feb"),"Mar","Mar"),"Apr","Apr"),"Mei","May"),"Jun","Jun"),"Jul","Jul"),"Agu","Aug"),"Sep","Sep"),"Okt","Oct"),"Nov","Nov"),"Des","Dec"))</f>
        <v>45641</v>
      </c>
      <c r="N78" t="str">
        <f>Table1[[#This Row],[ID_Transaksi]]</f>
        <v>INV-1077</v>
      </c>
      <c r="O78" s="5" t="str">
        <f>PROPER(TRIM(SUBSTITUTE(Table1[[#This Row],[Nama_Toko]],"""","")))</f>
        <v>Minimarket Laris</v>
      </c>
      <c r="P78" s="3" t="str">
        <f>PROPER(TRIM(Table1[[#This Row],[Kategori_Produk]]))</f>
        <v>Mainan</v>
      </c>
      <c r="Q78" t="str">
        <f>PROPER(TRIM(Table1[Nama Produk]))</f>
        <v>Drone Mini Kamera Hd</v>
      </c>
      <c r="R78">
        <f>Table1[[#This Row],[Qty]]</f>
        <v>1</v>
      </c>
      <c r="S78" t="str">
        <f>SUBSTITUTE(SUBSTITUTE(Table1[[#This Row],[Harga_Satuan]],"Rp.",""),".","")</f>
        <v>550000</v>
      </c>
      <c r="T78">
        <f>Table1[[#This Row],[Total_Penjualan]]</f>
        <v>550000</v>
      </c>
      <c r="U78" t="str">
        <f>PROPER(Table1[[#This Row],[Kota]])</f>
        <v>Yogyakarta</v>
      </c>
      <c r="V78" t="str">
        <f>PROPER(Table1[[#This Row],[Metode_Pembayaran]])</f>
        <v>Kartu Kredit</v>
      </c>
    </row>
    <row r="79" spans="1:22" x14ac:dyDescent="0.25">
      <c r="A79" s="8" t="s">
        <v>1374</v>
      </c>
      <c r="B79" s="5" t="s">
        <v>300</v>
      </c>
      <c r="C79" s="5" t="s">
        <v>1020</v>
      </c>
      <c r="D79" s="5" t="s">
        <v>12</v>
      </c>
      <c r="E79" s="5" t="s">
        <v>302</v>
      </c>
      <c r="F79" s="5">
        <v>15</v>
      </c>
      <c r="G79" s="5">
        <v>8000</v>
      </c>
      <c r="H79" s="5">
        <v>120000</v>
      </c>
      <c r="I79" s="5" t="s">
        <v>960</v>
      </c>
      <c r="J79" s="6" t="s">
        <v>893</v>
      </c>
      <c r="M79" s="10">
        <f>DATEVALUE(SUBSTITUTE(SUBSTITUTE(SUBSTITUTE(SUBSTITUTE(SUBSTITUTE(SUBSTITUTE(SUBSTITUTE(SUBSTITUTE(SUBSTITUTE(SUBSTITUTE(SUBSTITUTE(SUBSTITUTE(Table1[[#This Row],[Tanggal]],"Jan", "Jan"),"Feb","Feb"),"Mar","Mar"),"Apr","Apr"),"Mei","May"),"Jun","Jun"),"Jul","Jul"),"Agu","Aug"),"Sep","Sep"),"Okt","Oct"),"Nov","Nov"),"Des","Dec"))</f>
        <v>45651</v>
      </c>
      <c r="N79" t="str">
        <f>Table1[[#This Row],[ID_Transaksi]]</f>
        <v>TRX-1078</v>
      </c>
      <c r="O79" s="5" t="str">
        <f>PROPER(TRIM(SUBSTITUTE(Table1[[#This Row],[Nama_Toko]],"""","")))</f>
        <v>Toko Pilihan</v>
      </c>
      <c r="P79" s="3" t="str">
        <f>PROPER(TRIM(Table1[[#This Row],[Kategori_Produk]]))</f>
        <v>Makanan</v>
      </c>
      <c r="Q79" t="str">
        <f>PROPER(TRIM(Table1[Nama Produk]))</f>
        <v>Es Krim Cup Kecil</v>
      </c>
      <c r="R79">
        <f>Table1[[#This Row],[Qty]]</f>
        <v>15</v>
      </c>
      <c r="S79" t="str">
        <f>SUBSTITUTE(SUBSTITUTE(Table1[[#This Row],[Harga_Satuan]],"Rp.",""),".","")</f>
        <v>8000</v>
      </c>
      <c r="T79">
        <f>Table1[[#This Row],[Total_Penjualan]]</f>
        <v>120000</v>
      </c>
      <c r="U79" t="str">
        <f>PROPER(Table1[[#This Row],[Kota]])</f>
        <v>Malang</v>
      </c>
      <c r="V79" t="str">
        <f>PROPER(Table1[[#This Row],[Metode_Pembayaran]])</f>
        <v>Tunai</v>
      </c>
    </row>
    <row r="80" spans="1:22" x14ac:dyDescent="0.25">
      <c r="A80" s="7" t="s">
        <v>1375</v>
      </c>
      <c r="B80" s="3" t="s">
        <v>304</v>
      </c>
      <c r="C80" s="3" t="s">
        <v>1021</v>
      </c>
      <c r="D80" s="3" t="s">
        <v>19</v>
      </c>
      <c r="E80" s="3" t="s">
        <v>305</v>
      </c>
      <c r="F80" s="3">
        <v>20</v>
      </c>
      <c r="G80" s="3">
        <v>5000</v>
      </c>
      <c r="H80" s="3">
        <v>100000</v>
      </c>
      <c r="I80" s="3" t="s">
        <v>21</v>
      </c>
      <c r="J80" s="4" t="s">
        <v>884</v>
      </c>
      <c r="M80" s="10">
        <f>DATEVALUE(SUBSTITUTE(SUBSTITUTE(SUBSTITUTE(SUBSTITUTE(SUBSTITUTE(SUBSTITUTE(SUBSTITUTE(SUBSTITUTE(SUBSTITUTE(SUBSTITUTE(SUBSTITUTE(SUBSTITUTE(Table1[[#This Row],[Tanggal]],"Jan", "Jan"),"Feb","Feb"),"Mar","Mar"),"Apr","Apr"),"Mei","May"),"Jun","Jun"),"Jul","Jul"),"Agu","Aug"),"Sep","Sep"),"Okt","Oct"),"Nov","Nov"),"Des","Dec"))</f>
        <v>45662</v>
      </c>
      <c r="N80" t="str">
        <f>Table1[[#This Row],[ID_Transaksi]]</f>
        <v>INV-1079</v>
      </c>
      <c r="O80" s="5" t="str">
        <f>PROPER(TRIM(SUBSTITUTE(Table1[[#This Row],[Nama_Toko]],"""","")))</f>
        <v>Grosir Penuh</v>
      </c>
      <c r="P80" s="3" t="str">
        <f>PROPER(TRIM(Table1[[#This Row],[Kategori_Produk]]))</f>
        <v>Minuman</v>
      </c>
      <c r="Q80" t="str">
        <f>PROPER(TRIM(Table1[Nama Produk]))</f>
        <v>Coklat Panas Sachet</v>
      </c>
      <c r="R80">
        <f>Table1[[#This Row],[Qty]]</f>
        <v>20</v>
      </c>
      <c r="S80" t="str">
        <f>SUBSTITUTE(SUBSTITUTE(Table1[[#This Row],[Harga_Satuan]],"Rp.",""),".","")</f>
        <v>5000</v>
      </c>
      <c r="T80">
        <f>Table1[[#This Row],[Total_Penjualan]]</f>
        <v>100000</v>
      </c>
      <c r="U80" t="str">
        <f>PROPER(Table1[[#This Row],[Kota]])</f>
        <v>Bandung</v>
      </c>
      <c r="V80" t="str">
        <f>PROPER(Table1[[#This Row],[Metode_Pembayaran]])</f>
        <v>Kartu Debit</v>
      </c>
    </row>
    <row r="81" spans="1:22" x14ac:dyDescent="0.25">
      <c r="A81" s="8" t="s">
        <v>1376</v>
      </c>
      <c r="B81" s="5" t="s">
        <v>307</v>
      </c>
      <c r="C81" s="5" t="s">
        <v>1022</v>
      </c>
      <c r="D81" s="5" t="s">
        <v>886</v>
      </c>
      <c r="E81" s="5" t="s">
        <v>309</v>
      </c>
      <c r="F81" s="5">
        <v>1</v>
      </c>
      <c r="G81" s="5">
        <v>300000</v>
      </c>
      <c r="H81" s="5">
        <v>300000</v>
      </c>
      <c r="I81" s="5" t="s">
        <v>932</v>
      </c>
      <c r="J81" s="6" t="s">
        <v>888</v>
      </c>
      <c r="M81" s="10">
        <f>DATEVALUE(SUBSTITUTE(SUBSTITUTE(SUBSTITUTE(SUBSTITUTE(SUBSTITUTE(SUBSTITUTE(SUBSTITUTE(SUBSTITUTE(SUBSTITUTE(SUBSTITUTE(SUBSTITUTE(SUBSTITUTE(Table1[[#This Row],[Tanggal]],"Jan", "Jan"),"Feb","Feb"),"Mar","Mar"),"Apr","Apr"),"Mei","May"),"Jun","Jun"),"Jul","Jul"),"Agu","Aug"),"Sep","Sep"),"Okt","Oct"),"Nov","Nov"),"Des","Dec"))</f>
        <v>45672</v>
      </c>
      <c r="N81" t="str">
        <f>Table1[[#This Row],[ID_Transaksi]]</f>
        <v>TRX-1080</v>
      </c>
      <c r="O81" s="5" t="str">
        <f>PROPER(TRIM(SUBSTITUTE(Table1[[#This Row],[Nama_Toko]],"""","")))</f>
        <v>Warung Nusa</v>
      </c>
      <c r="P81" s="3" t="str">
        <f>PROPER(TRIM(Table1[[#This Row],[Kategori_Produk]]))</f>
        <v>Elektronik</v>
      </c>
      <c r="Q81" t="str">
        <f>PROPER(TRIM(Table1[Nama Produk]))</f>
        <v>Smartwatch Fitness</v>
      </c>
      <c r="R81">
        <f>Table1[[#This Row],[Qty]]</f>
        <v>1</v>
      </c>
      <c r="S81" t="str">
        <f>SUBSTITUTE(SUBSTITUTE(Table1[[#This Row],[Harga_Satuan]],"Rp.",""),".","")</f>
        <v>300000</v>
      </c>
      <c r="T81">
        <f>Table1[[#This Row],[Total_Penjualan]]</f>
        <v>300000</v>
      </c>
      <c r="U81" t="str">
        <f>PROPER(Table1[[#This Row],[Kota]])</f>
        <v>Semarang</v>
      </c>
      <c r="V81" t="str">
        <f>PROPER(Table1[[#This Row],[Metode_Pembayaran]])</f>
        <v>Kartu Kredit</v>
      </c>
    </row>
    <row r="82" spans="1:22" x14ac:dyDescent="0.25">
      <c r="A82" s="7" t="s">
        <v>1377</v>
      </c>
      <c r="B82" s="3" t="s">
        <v>311</v>
      </c>
      <c r="C82" s="3" t="s">
        <v>1023</v>
      </c>
      <c r="D82" s="3" t="s">
        <v>890</v>
      </c>
      <c r="E82" s="3" t="s">
        <v>313</v>
      </c>
      <c r="F82" s="3">
        <v>3</v>
      </c>
      <c r="G82" s="3">
        <v>80000</v>
      </c>
      <c r="H82" s="3">
        <v>240000</v>
      </c>
      <c r="I82" s="3" t="s">
        <v>951</v>
      </c>
      <c r="J82" s="4" t="s">
        <v>893</v>
      </c>
      <c r="M82" s="10">
        <f>DATEVALUE(SUBSTITUTE(SUBSTITUTE(SUBSTITUTE(SUBSTITUTE(SUBSTITUTE(SUBSTITUTE(SUBSTITUTE(SUBSTITUTE(SUBSTITUTE(SUBSTITUTE(SUBSTITUTE(SUBSTITUTE(Table1[[#This Row],[Tanggal]],"Jan", "Jan"),"Feb","Feb"),"Mar","Mar"),"Apr","Apr"),"Mei","May"),"Jun","Jun"),"Jul","Jul"),"Agu","Aug"),"Sep","Sep"),"Okt","Oct"),"Nov","Nov"),"Des","Dec"))</f>
        <v>45682</v>
      </c>
      <c r="N82" t="str">
        <f>Table1[[#This Row],[ID_Transaksi]]</f>
        <v>INV-1081</v>
      </c>
      <c r="O82" s="5" t="str">
        <f>PROPER(TRIM(SUBSTITUTE(Table1[[#This Row],[Nama_Toko]],"""","")))</f>
        <v>Gudang Pelangi</v>
      </c>
      <c r="P82" s="3" t="str">
        <f>PROPER(TRIM(Table1[[#This Row],[Kategori_Produk]]))</f>
        <v>Kecantikan</v>
      </c>
      <c r="Q82" t="str">
        <f>PROPER(TRIM(Table1[Nama Produk]))</f>
        <v>Serum Rambut Anti Frizz</v>
      </c>
      <c r="R82">
        <f>Table1[[#This Row],[Qty]]</f>
        <v>3</v>
      </c>
      <c r="S82" t="str">
        <f>SUBSTITUTE(SUBSTITUTE(Table1[[#This Row],[Harga_Satuan]],"Rp.",""),".","")</f>
        <v>80000</v>
      </c>
      <c r="T82">
        <f>Table1[[#This Row],[Total_Penjualan]]</f>
        <v>240000</v>
      </c>
      <c r="U82" t="str">
        <f>PROPER(Table1[[#This Row],[Kota]])</f>
        <v>Surabaya</v>
      </c>
      <c r="V82" t="str">
        <f>PROPER(Table1[[#This Row],[Metode_Pembayaran]])</f>
        <v>Tunai</v>
      </c>
    </row>
    <row r="83" spans="1:22" x14ac:dyDescent="0.25">
      <c r="A83" s="8" t="s">
        <v>1378</v>
      </c>
      <c r="B83" s="5" t="s">
        <v>315</v>
      </c>
      <c r="C83" s="5" t="s">
        <v>1024</v>
      </c>
      <c r="D83" s="5" t="s">
        <v>895</v>
      </c>
      <c r="E83" s="5" t="s">
        <v>1025</v>
      </c>
      <c r="F83" s="5">
        <v>7</v>
      </c>
      <c r="G83" s="5">
        <v>75000</v>
      </c>
      <c r="H83" s="5">
        <v>525000</v>
      </c>
      <c r="I83" s="5" t="s">
        <v>923</v>
      </c>
      <c r="J83" s="6" t="s">
        <v>884</v>
      </c>
      <c r="M83" s="10">
        <f>DATEVALUE(SUBSTITUTE(SUBSTITUTE(SUBSTITUTE(SUBSTITUTE(SUBSTITUTE(SUBSTITUTE(SUBSTITUTE(SUBSTITUTE(SUBSTITUTE(SUBSTITUTE(SUBSTITUTE(SUBSTITUTE(Table1[[#This Row],[Tanggal]],"Jan", "Jan"),"Feb","Feb"),"Mar","Mar"),"Apr","Apr"),"Mei","May"),"Jun","Jun"),"Jul","Jul"),"Agu","Aug"),"Sep","Sep"),"Okt","Oct"),"Nov","Nov"),"Des","Dec"))</f>
        <v>45689</v>
      </c>
      <c r="N83" t="str">
        <f>Table1[[#This Row],[ID_Transaksi]]</f>
        <v>TRX-1082</v>
      </c>
      <c r="O83" s="5" t="str">
        <f>PROPER(TRIM(SUBSTITUTE(Table1[[#This Row],[Nama_Toko]],"""","")))</f>
        <v>Toko Hebat</v>
      </c>
      <c r="P83" s="3" t="str">
        <f>PROPER(TRIM(Table1[[#This Row],[Kategori_Produk]]))</f>
        <v>Makanan</v>
      </c>
      <c r="Q83" t="str">
        <f>PROPER(TRIM(Table1[Nama Produk]))</f>
        <v>Biji Kopi Arabika</v>
      </c>
      <c r="R83">
        <f>Table1[[#This Row],[Qty]]</f>
        <v>7</v>
      </c>
      <c r="S83" t="str">
        <f>SUBSTITUTE(SUBSTITUTE(Table1[[#This Row],[Harga_Satuan]],"Rp.",""),".","")</f>
        <v>75000</v>
      </c>
      <c r="T83">
        <f>Table1[[#This Row],[Total_Penjualan]]</f>
        <v>525000</v>
      </c>
      <c r="U83" t="str">
        <f>PROPER(Table1[[#This Row],[Kota]])</f>
        <v>Denpasar</v>
      </c>
      <c r="V83" t="str">
        <f>PROPER(Table1[[#This Row],[Metode_Pembayaran]])</f>
        <v>Kartu Debit</v>
      </c>
    </row>
    <row r="84" spans="1:22" x14ac:dyDescent="0.25">
      <c r="A84" s="7" t="s">
        <v>1379</v>
      </c>
      <c r="B84" s="3" t="s">
        <v>318</v>
      </c>
      <c r="C84" s="3" t="s">
        <v>1026</v>
      </c>
      <c r="D84" s="3" t="s">
        <v>43</v>
      </c>
      <c r="E84" s="3" t="s">
        <v>320</v>
      </c>
      <c r="F84" s="3">
        <v>2</v>
      </c>
      <c r="G84" s="3">
        <v>150000</v>
      </c>
      <c r="H84" s="3">
        <v>300000</v>
      </c>
      <c r="I84" s="3" t="s">
        <v>978</v>
      </c>
      <c r="J84" s="4" t="s">
        <v>880</v>
      </c>
      <c r="M84" s="10">
        <f>DATEVALUE(SUBSTITUTE(SUBSTITUTE(SUBSTITUTE(SUBSTITUTE(SUBSTITUTE(SUBSTITUTE(SUBSTITUTE(SUBSTITUTE(SUBSTITUTE(SUBSTITUTE(SUBSTITUTE(SUBSTITUTE(Table1[[#This Row],[Tanggal]],"Jan", "Jan"),"Feb","Feb"),"Mar","Mar"),"Apr","Apr"),"Mei","May"),"Jun","Jun"),"Jul","Jul"),"Agu","Aug"),"Sep","Sep"),"Okt","Oct"),"Nov","Nov"),"Des","Dec"))</f>
        <v>45698</v>
      </c>
      <c r="N84" t="str">
        <f>Table1[[#This Row],[ID_Transaksi]]</f>
        <v>INV-1083</v>
      </c>
      <c r="O84" s="5" t="str">
        <f>PROPER(TRIM(SUBSTITUTE(Table1[[#This Row],[Nama_Toko]],"""","")))</f>
        <v>Pasar Terang</v>
      </c>
      <c r="P84" s="3" t="str">
        <f>PROPER(TRIM(Table1[[#This Row],[Kategori_Produk]]))</f>
        <v>Pakaian</v>
      </c>
      <c r="Q84" t="str">
        <f>PROPER(TRIM(Table1[Nama Produk]))</f>
        <v>Jas Hujan Dewasa</v>
      </c>
      <c r="R84">
        <f>Table1[[#This Row],[Qty]]</f>
        <v>2</v>
      </c>
      <c r="S84" t="str">
        <f>SUBSTITUTE(SUBSTITUTE(Table1[[#This Row],[Harga_Satuan]],"Rp.",""),".","")</f>
        <v>150000</v>
      </c>
      <c r="T84">
        <f>Table1[[#This Row],[Total_Penjualan]]</f>
        <v>300000</v>
      </c>
      <c r="U84" t="str">
        <f>PROPER(Table1[[#This Row],[Kota]])</f>
        <v>Jakarta</v>
      </c>
      <c r="V84" t="str">
        <f>PROPER(Table1[[#This Row],[Metode_Pembayaran]])</f>
        <v>Tunai</v>
      </c>
    </row>
    <row r="85" spans="1:22" x14ac:dyDescent="0.25">
      <c r="A85" s="8" t="s">
        <v>1380</v>
      </c>
      <c r="B85" s="5" t="s">
        <v>322</v>
      </c>
      <c r="C85" s="5" t="s">
        <v>1027</v>
      </c>
      <c r="D85" s="5" t="s">
        <v>901</v>
      </c>
      <c r="E85" s="5" t="s">
        <v>324</v>
      </c>
      <c r="F85" s="5">
        <v>5</v>
      </c>
      <c r="G85" s="5">
        <v>40000</v>
      </c>
      <c r="H85" s="5">
        <v>200000</v>
      </c>
      <c r="I85" s="5" t="s">
        <v>899</v>
      </c>
      <c r="J85" s="6" t="s">
        <v>29</v>
      </c>
      <c r="M85" s="10">
        <f>DATEVALUE(SUBSTITUTE(SUBSTITUTE(SUBSTITUTE(SUBSTITUTE(SUBSTITUTE(SUBSTITUTE(SUBSTITUTE(SUBSTITUTE(SUBSTITUTE(SUBSTITUTE(SUBSTITUTE(SUBSTITUTE(Table1[[#This Row],[Tanggal]],"Jan", "Jan"),"Feb","Feb"),"Mar","Mar"),"Apr","Apr"),"Mei","May"),"Jun","Jun"),"Jul","Jul"),"Agu","Aug"),"Sep","Sep"),"Okt","Oct"),"Nov","Nov"),"Des","Dec"))</f>
        <v>45708</v>
      </c>
      <c r="N85" t="str">
        <f>Table1[[#This Row],[ID_Transaksi]]</f>
        <v>TRX-1084</v>
      </c>
      <c r="O85" s="5" t="str">
        <f>PROPER(TRIM(SUBSTITUTE(Table1[[#This Row],[Nama_Toko]],"""","")))</f>
        <v>Minimarket Prima</v>
      </c>
      <c r="P85" s="3" t="str">
        <f>PROPER(TRIM(Table1[[#This Row],[Kategori_Produk]]))</f>
        <v>Mainan</v>
      </c>
      <c r="Q85" t="str">
        <f>PROPER(TRIM(Table1[Nama Produk]))</f>
        <v>Action Figure Karakter</v>
      </c>
      <c r="R85">
        <f>Table1[[#This Row],[Qty]]</f>
        <v>5</v>
      </c>
      <c r="S85" t="str">
        <f>SUBSTITUTE(SUBSTITUTE(Table1[[#This Row],[Harga_Satuan]],"Rp.",""),".","")</f>
        <v>40000</v>
      </c>
      <c r="T85">
        <f>Table1[[#This Row],[Total_Penjualan]]</f>
        <v>200000</v>
      </c>
      <c r="U85" t="str">
        <f>PROPER(Table1[[#This Row],[Kota]])</f>
        <v>Medan</v>
      </c>
      <c r="V85" t="str">
        <f>PROPER(Table1[[#This Row],[Metode_Pembayaran]])</f>
        <v>Kartu Kredit</v>
      </c>
    </row>
    <row r="86" spans="1:22" x14ac:dyDescent="0.25">
      <c r="A86" s="7" t="s">
        <v>1381</v>
      </c>
      <c r="B86" s="3" t="s">
        <v>325</v>
      </c>
      <c r="C86" s="3" t="s">
        <v>1028</v>
      </c>
      <c r="D86" s="3" t="s">
        <v>12</v>
      </c>
      <c r="E86" s="3" t="s">
        <v>327</v>
      </c>
      <c r="F86" s="3">
        <v>8</v>
      </c>
      <c r="G86" s="3">
        <v>14000</v>
      </c>
      <c r="H86" s="3">
        <v>112000</v>
      </c>
      <c r="I86" s="3" t="s">
        <v>913</v>
      </c>
      <c r="J86" s="4" t="s">
        <v>893</v>
      </c>
      <c r="M86" s="10">
        <f>DATEVALUE(SUBSTITUTE(SUBSTITUTE(SUBSTITUTE(SUBSTITUTE(SUBSTITUTE(SUBSTITUTE(SUBSTITUTE(SUBSTITUTE(SUBSTITUTE(SUBSTITUTE(SUBSTITUTE(SUBSTITUTE(Table1[[#This Row],[Tanggal]],"Jan", "Jan"),"Feb","Feb"),"Mar","Mar"),"Apr","Apr"),"Mei","May"),"Jun","Jun"),"Jul","Jul"),"Agu","Aug"),"Sep","Sep"),"Okt","Oct"),"Nov","Nov"),"Des","Dec"))</f>
        <v>45717</v>
      </c>
      <c r="N86" t="str">
        <f>Table1[[#This Row],[ID_Transaksi]]</f>
        <v>INV-1085</v>
      </c>
      <c r="O86" s="5" t="str">
        <f>PROPER(TRIM(SUBSTITUTE(Table1[[#This Row],[Nama_Toko]],"""","")))</f>
        <v>Toko Damai</v>
      </c>
      <c r="P86" s="3" t="str">
        <f>PROPER(TRIM(Table1[[#This Row],[Kategori_Produk]]))</f>
        <v>Makanan</v>
      </c>
      <c r="Q86" t="str">
        <f>PROPER(TRIM(Table1[Nama Produk]))</f>
        <v>Pasta Gigi Herbal Besar</v>
      </c>
      <c r="R86">
        <f>Table1[[#This Row],[Qty]]</f>
        <v>8</v>
      </c>
      <c r="S86" t="str">
        <f>SUBSTITUTE(SUBSTITUTE(Table1[[#This Row],[Harga_Satuan]],"Rp.",""),".","")</f>
        <v>14000</v>
      </c>
      <c r="T86">
        <f>Table1[[#This Row],[Total_Penjualan]]</f>
        <v>112000</v>
      </c>
      <c r="U86" t="str">
        <f>PROPER(Table1[[#This Row],[Kota]])</f>
        <v>Yogyakarta</v>
      </c>
      <c r="V86" t="str">
        <f>PROPER(Table1[[#This Row],[Metode_Pembayaran]])</f>
        <v>Tunai</v>
      </c>
    </row>
    <row r="87" spans="1:22" x14ac:dyDescent="0.25">
      <c r="A87" s="8" t="s">
        <v>1382</v>
      </c>
      <c r="B87" s="5" t="s">
        <v>329</v>
      </c>
      <c r="C87" s="5" t="s">
        <v>1029</v>
      </c>
      <c r="D87" s="5" t="s">
        <v>19</v>
      </c>
      <c r="E87" s="5" t="s">
        <v>330</v>
      </c>
      <c r="F87" s="5">
        <v>10</v>
      </c>
      <c r="G87" s="5">
        <v>18000</v>
      </c>
      <c r="H87" s="5">
        <v>180000</v>
      </c>
      <c r="I87" s="5" t="s">
        <v>996</v>
      </c>
      <c r="J87" s="6" t="s">
        <v>884</v>
      </c>
      <c r="M87" s="10">
        <f>DATEVALUE(SUBSTITUTE(SUBSTITUTE(SUBSTITUTE(SUBSTITUTE(SUBSTITUTE(SUBSTITUTE(SUBSTITUTE(SUBSTITUTE(SUBSTITUTE(SUBSTITUTE(SUBSTITUTE(SUBSTITUTE(Table1[[#This Row],[Tanggal]],"Jan", "Jan"),"Feb","Feb"),"Mar","Mar"),"Apr","Apr"),"Mei","May"),"Jun","Jun"),"Jul","Jul"),"Agu","Aug"),"Sep","Sep"),"Okt","Oct"),"Nov","Nov"),"Des","Dec"))</f>
        <v>45731</v>
      </c>
      <c r="N87" t="str">
        <f>Table1[[#This Row],[ID_Transaksi]]</f>
        <v>TRX-1086</v>
      </c>
      <c r="O87" s="5" t="str">
        <f>PROPER(TRIM(SUBSTITUTE(Table1[[#This Row],[Nama_Toko]],"""","")))</f>
        <v>Grosir Utama</v>
      </c>
      <c r="P87" s="3" t="str">
        <f>PROPER(TRIM(Table1[[#This Row],[Kategori_Produk]]))</f>
        <v>Minuman</v>
      </c>
      <c r="Q87" t="str">
        <f>PROPER(TRIM(Table1[Nama Produk]))</f>
        <v>Air Soda Kaleng Import</v>
      </c>
      <c r="R87">
        <f>Table1[[#This Row],[Qty]]</f>
        <v>10</v>
      </c>
      <c r="S87" t="str">
        <f>SUBSTITUTE(SUBSTITUTE(Table1[[#This Row],[Harga_Satuan]],"Rp.",""),".","")</f>
        <v>18000</v>
      </c>
      <c r="T87">
        <f>Table1[[#This Row],[Total_Penjualan]]</f>
        <v>180000</v>
      </c>
      <c r="U87" t="str">
        <f>PROPER(Table1[[#This Row],[Kota]])</f>
        <v>Malang</v>
      </c>
      <c r="V87" t="str">
        <f>PROPER(Table1[[#This Row],[Metode_Pembayaran]])</f>
        <v>Kartu Debit</v>
      </c>
    </row>
    <row r="88" spans="1:22" x14ac:dyDescent="0.25">
      <c r="A88" s="7" t="s">
        <v>1383</v>
      </c>
      <c r="B88" s="3" t="s">
        <v>332</v>
      </c>
      <c r="C88" s="3" t="s">
        <v>1030</v>
      </c>
      <c r="D88" s="3" t="s">
        <v>886</v>
      </c>
      <c r="E88" s="3" t="s">
        <v>334</v>
      </c>
      <c r="F88" s="3">
        <v>1</v>
      </c>
      <c r="G88" s="3">
        <v>700000</v>
      </c>
      <c r="H88" s="3">
        <v>700000</v>
      </c>
      <c r="I88" s="3" t="s">
        <v>21</v>
      </c>
      <c r="J88" s="4" t="s">
        <v>888</v>
      </c>
      <c r="M88" s="10">
        <f>DATEVALUE(SUBSTITUTE(SUBSTITUTE(SUBSTITUTE(SUBSTITUTE(SUBSTITUTE(SUBSTITUTE(SUBSTITUTE(SUBSTITUTE(SUBSTITUTE(SUBSTITUTE(SUBSTITUTE(SUBSTITUTE(Table1[[#This Row],[Tanggal]],"Jan", "Jan"),"Feb","Feb"),"Mar","Mar"),"Apr","Apr"),"Mei","May"),"Jun","Jun"),"Jul","Jul"),"Agu","Aug"),"Sep","Sep"),"Okt","Oct"),"Nov","Nov"),"Des","Dec"))</f>
        <v>45741</v>
      </c>
      <c r="N88" t="str">
        <f>Table1[[#This Row],[ID_Transaksi]]</f>
        <v>INV-1087</v>
      </c>
      <c r="O88" s="5" t="str">
        <f>PROPER(TRIM(SUBSTITUTE(Table1[[#This Row],[Nama_Toko]],"""","")))</f>
        <v>Warung Nyaman</v>
      </c>
      <c r="P88" s="3" t="str">
        <f>PROPER(TRIM(Table1[[#This Row],[Kategori_Produk]]))</f>
        <v>Elektronik</v>
      </c>
      <c r="Q88" t="str">
        <f>PROPER(TRIM(Table1[Nama Produk]))</f>
        <v>Keyboard Gaming Mekanik</v>
      </c>
      <c r="R88">
        <f>Table1[[#This Row],[Qty]]</f>
        <v>1</v>
      </c>
      <c r="S88" t="str">
        <f>SUBSTITUTE(SUBSTITUTE(Table1[[#This Row],[Harga_Satuan]],"Rp.",""),".","")</f>
        <v>700000</v>
      </c>
      <c r="T88">
        <f>Table1[[#This Row],[Total_Penjualan]]</f>
        <v>700000</v>
      </c>
      <c r="U88" t="str">
        <f>PROPER(Table1[[#This Row],[Kota]])</f>
        <v>Bandung</v>
      </c>
      <c r="V88" t="str">
        <f>PROPER(Table1[[#This Row],[Metode_Pembayaran]])</f>
        <v>Kartu Kredit</v>
      </c>
    </row>
    <row r="89" spans="1:22" x14ac:dyDescent="0.25">
      <c r="A89" s="8" t="s">
        <v>1384</v>
      </c>
      <c r="B89" s="5" t="s">
        <v>336</v>
      </c>
      <c r="C89" s="5" t="s">
        <v>1032</v>
      </c>
      <c r="D89" s="5" t="s">
        <v>890</v>
      </c>
      <c r="E89" s="5" t="s">
        <v>337</v>
      </c>
      <c r="F89" s="5">
        <v>4</v>
      </c>
      <c r="G89" s="5">
        <v>55000</v>
      </c>
      <c r="H89" s="5">
        <v>220000</v>
      </c>
      <c r="I89" s="5" t="s">
        <v>919</v>
      </c>
      <c r="J89" s="6" t="s">
        <v>893</v>
      </c>
      <c r="M89" s="10">
        <f>DATEVALUE(SUBSTITUTE(SUBSTITUTE(SUBSTITUTE(SUBSTITUTE(SUBSTITUTE(SUBSTITUTE(SUBSTITUTE(SUBSTITUTE(SUBSTITUTE(SUBSTITUTE(SUBSTITUTE(SUBSTITUTE(Table1[[#This Row],[Tanggal]],"Jan", "Jan"),"Feb","Feb"),"Mar","Mar"),"Apr","Apr"),"Mei","May"),"Jun","Jun"),"Jul","Jul"),"Agu","Aug"),"Sep","Sep"),"Okt","Oct"),"Nov","Nov"),"Des","Dec"))</f>
        <v>45752</v>
      </c>
      <c r="N89" t="str">
        <f>Table1[[#This Row],[ID_Transaksi]]</f>
        <v>TRX-1088</v>
      </c>
      <c r="O89" s="5" t="str">
        <f>PROPER(TRIM(SUBSTITUTE(Table1[[#This Row],[Nama_Toko]],"""","")))</f>
        <v>Gudang Lama</v>
      </c>
      <c r="P89" s="3" t="str">
        <f>PROPER(TRIM(Table1[[#This Row],[Kategori_Produk]]))</f>
        <v>Kecantikan</v>
      </c>
      <c r="Q89" t="str">
        <f>PROPER(TRIM(Table1[Nama Produk]))</f>
        <v>Cream Pemutih Badan</v>
      </c>
      <c r="R89">
        <f>Table1[[#This Row],[Qty]]</f>
        <v>4</v>
      </c>
      <c r="S89" t="str">
        <f>SUBSTITUTE(SUBSTITUTE(Table1[[#This Row],[Harga_Satuan]],"Rp.",""),".","")</f>
        <v>55000</v>
      </c>
      <c r="T89">
        <f>Table1[[#This Row],[Total_Penjualan]]</f>
        <v>220000</v>
      </c>
      <c r="U89" t="str">
        <f>PROPER(Table1[[#This Row],[Kota]])</f>
        <v>Semarang</v>
      </c>
      <c r="V89" t="str">
        <f>PROPER(Table1[[#This Row],[Metode_Pembayaran]])</f>
        <v>Tunai</v>
      </c>
    </row>
    <row r="90" spans="1:22" x14ac:dyDescent="0.25">
      <c r="A90" s="7" t="s">
        <v>1385</v>
      </c>
      <c r="B90" s="5" t="s">
        <v>339</v>
      </c>
      <c r="C90" s="3" t="s">
        <v>1033</v>
      </c>
      <c r="D90" s="3" t="s">
        <v>895</v>
      </c>
      <c r="E90" s="3" t="s">
        <v>1034</v>
      </c>
      <c r="F90" s="3">
        <v>11</v>
      </c>
      <c r="G90" s="3">
        <v>35000</v>
      </c>
      <c r="H90" s="3">
        <v>385000</v>
      </c>
      <c r="I90" s="3" t="s">
        <v>28</v>
      </c>
      <c r="J90" s="4" t="s">
        <v>884</v>
      </c>
      <c r="M90" s="10">
        <f>DATEVALUE(SUBSTITUTE(SUBSTITUTE(SUBSTITUTE(SUBSTITUTE(SUBSTITUTE(SUBSTITUTE(SUBSTITUTE(SUBSTITUTE(SUBSTITUTE(SUBSTITUTE(SUBSTITUTE(SUBSTITUTE(Table1[[#This Row],[Tanggal]],"Jan", "Jan"),"Feb","Feb"),"Mar","Mar"),"Apr","Apr"),"Mei","May"),"Jun","Jun"),"Jul","Jul"),"Agu","Aug"),"Sep","Sep"),"Okt","Oct"),"Nov","Nov"),"Des","Dec"))</f>
        <v>45762</v>
      </c>
      <c r="N90" t="str">
        <f>Table1[[#This Row],[ID_Transaksi]]</f>
        <v>TRX-1089</v>
      </c>
      <c r="O90" s="5" t="str">
        <f>PROPER(TRIM(SUBSTITUTE(Table1[[#This Row],[Nama_Toko]],"""","")))</f>
        <v>Toko Rapi</v>
      </c>
      <c r="P90" s="3" t="str">
        <f>PROPER(TRIM(Table1[[#This Row],[Kategori_Produk]]))</f>
        <v>Makanan</v>
      </c>
      <c r="Q90" t="str">
        <f>PROPER(TRIM(Table1[Nama Produk]))</f>
        <v>Telur Ayam Kampung Pack</v>
      </c>
      <c r="R90">
        <f>Table1[[#This Row],[Qty]]</f>
        <v>11</v>
      </c>
      <c r="S90" t="str">
        <f>SUBSTITUTE(SUBSTITUTE(Table1[[#This Row],[Harga_Satuan]],"Rp.",""),".","")</f>
        <v>35000</v>
      </c>
      <c r="T90">
        <f>Table1[[#This Row],[Total_Penjualan]]</f>
        <v>385000</v>
      </c>
      <c r="U90" t="str">
        <f>PROPER(Table1[[#This Row],[Kota]])</f>
        <v>Surabaya</v>
      </c>
      <c r="V90" t="str">
        <f>PROPER(Table1[[#This Row],[Metode_Pembayaran]])</f>
        <v>Kartu Debit</v>
      </c>
    </row>
    <row r="91" spans="1:22" x14ac:dyDescent="0.25">
      <c r="A91" s="8" t="s">
        <v>1386</v>
      </c>
      <c r="B91" s="5" t="s">
        <v>343</v>
      </c>
      <c r="C91" s="5" t="s">
        <v>1035</v>
      </c>
      <c r="D91" s="5" t="s">
        <v>43</v>
      </c>
      <c r="E91" s="5" t="s">
        <v>345</v>
      </c>
      <c r="F91" s="5">
        <v>4</v>
      </c>
      <c r="G91" s="5">
        <v>130000</v>
      </c>
      <c r="H91" s="5">
        <v>520000</v>
      </c>
      <c r="I91" s="5" t="s">
        <v>937</v>
      </c>
      <c r="J91" s="6" t="s">
        <v>880</v>
      </c>
      <c r="M91" s="10">
        <f>DATEVALUE(SUBSTITUTE(SUBSTITUTE(SUBSTITUTE(SUBSTITUTE(SUBSTITUTE(SUBSTITUTE(SUBSTITUTE(SUBSTITUTE(SUBSTITUTE(SUBSTITUTE(SUBSTITUTE(SUBSTITUTE(Table1[[#This Row],[Tanggal]],"Jan", "Jan"),"Feb","Feb"),"Mar","Mar"),"Apr","Apr"),"Mei","May"),"Jun","Jun"),"Jul","Jul"),"Agu","Aug"),"Sep","Sep"),"Okt","Oct"),"Nov","Nov"),"Des","Dec"))</f>
        <v>45772</v>
      </c>
      <c r="N91" t="str">
        <f>Table1[[#This Row],[ID_Transaksi]]</f>
        <v>INV-1090</v>
      </c>
      <c r="O91" s="5" t="str">
        <f>PROPER(TRIM(SUBSTITUTE(Table1[[#This Row],[Nama_Toko]],"""","")))</f>
        <v>Pasar Mekar</v>
      </c>
      <c r="P91" s="3" t="str">
        <f>PROPER(TRIM(Table1[[#This Row],[Kategori_Produk]]))</f>
        <v>Pakaian</v>
      </c>
      <c r="Q91" t="str">
        <f>PROPER(TRIM(Table1[Nama Produk]))</f>
        <v>Blouse Wanita Motif Bunga</v>
      </c>
      <c r="R91">
        <f>Table1[[#This Row],[Qty]]</f>
        <v>4</v>
      </c>
      <c r="S91" t="str">
        <f>SUBSTITUTE(SUBSTITUTE(Table1[[#This Row],[Harga_Satuan]],"Rp.",""),".","")</f>
        <v>130000</v>
      </c>
      <c r="T91">
        <f>Table1[[#This Row],[Total_Penjualan]]</f>
        <v>520000</v>
      </c>
      <c r="U91" t="str">
        <f>PROPER(Table1[[#This Row],[Kota]])</f>
        <v>Depok</v>
      </c>
      <c r="V91" t="str">
        <f>PROPER(Table1[[#This Row],[Metode_Pembayaran]])</f>
        <v>Tunai</v>
      </c>
    </row>
    <row r="92" spans="1:22" x14ac:dyDescent="0.25">
      <c r="A92" s="7" t="s">
        <v>1387</v>
      </c>
      <c r="B92" s="3" t="s">
        <v>346</v>
      </c>
      <c r="C92" s="3" t="s">
        <v>1036</v>
      </c>
      <c r="D92" s="3" t="s">
        <v>901</v>
      </c>
      <c r="E92" s="3" t="s">
        <v>348</v>
      </c>
      <c r="F92" s="3">
        <v>3</v>
      </c>
      <c r="G92" s="3">
        <v>45000</v>
      </c>
      <c r="H92" s="3">
        <v>135000</v>
      </c>
      <c r="I92" s="3" t="s">
        <v>968</v>
      </c>
      <c r="J92" s="4" t="s">
        <v>29</v>
      </c>
      <c r="M92" s="10">
        <f>DATEVALUE(SUBSTITUTE(SUBSTITUTE(SUBSTITUTE(SUBSTITUTE(SUBSTITUTE(SUBSTITUTE(SUBSTITUTE(SUBSTITUTE(SUBSTITUTE(SUBSTITUTE(SUBSTITUTE(SUBSTITUTE(Table1[[#This Row],[Tanggal]],"Jan", "Jan"),"Feb","Feb"),"Mar","Mar"),"Apr","Apr"),"Mei","May"),"Jun","Jun"),"Jul","Jul"),"Agu","Aug"),"Sep","Sep"),"Okt","Oct"),"Nov","Nov"),"Des","Dec"))</f>
        <v>45778</v>
      </c>
      <c r="N92" t="str">
        <f>Table1[[#This Row],[ID_Transaksi]]</f>
        <v>TRX-1091</v>
      </c>
      <c r="O92" s="5" t="str">
        <f>PROPER(TRIM(SUBSTITUTE(Table1[[#This Row],[Nama_Toko]],"""","")))</f>
        <v>Minimarket Akbar</v>
      </c>
      <c r="P92" s="3" t="str">
        <f>PROPER(TRIM(Table1[[#This Row],[Kategori_Produk]]))</f>
        <v>Mainan</v>
      </c>
      <c r="Q92" t="str">
        <f>PROPER(TRIM(Table1[Nama Produk]))</f>
        <v>Pistol Air Mainan Besar</v>
      </c>
      <c r="R92">
        <f>Table1[[#This Row],[Qty]]</f>
        <v>3</v>
      </c>
      <c r="S92" t="str">
        <f>SUBSTITUTE(SUBSTITUTE(Table1[[#This Row],[Harga_Satuan]],"Rp.",""),".","")</f>
        <v>45000</v>
      </c>
      <c r="T92">
        <f>Table1[[#This Row],[Total_Penjualan]]</f>
        <v>135000</v>
      </c>
      <c r="U92" t="str">
        <f>PROPER(Table1[[#This Row],[Kota]])</f>
        <v>Jakarta Selatan</v>
      </c>
      <c r="V92" t="str">
        <f>PROPER(Table1[[#This Row],[Metode_Pembayaran]])</f>
        <v>Kartu Kredit</v>
      </c>
    </row>
    <row r="93" spans="1:22" x14ac:dyDescent="0.25">
      <c r="A93" s="8" t="s">
        <v>1031</v>
      </c>
      <c r="B93" s="5" t="s">
        <v>350</v>
      </c>
      <c r="C93" s="5" t="s">
        <v>1037</v>
      </c>
      <c r="D93" s="5" t="s">
        <v>12</v>
      </c>
      <c r="E93" s="5" t="s">
        <v>352</v>
      </c>
      <c r="F93" s="5">
        <v>7</v>
      </c>
      <c r="G93" s="5">
        <v>9000</v>
      </c>
      <c r="H93" s="5">
        <v>63000</v>
      </c>
      <c r="I93" s="5" t="s">
        <v>915</v>
      </c>
      <c r="J93" s="6" t="s">
        <v>893</v>
      </c>
      <c r="M93" s="10">
        <f>DATEVALUE(SUBSTITUTE(SUBSTITUTE(SUBSTITUTE(SUBSTITUTE(SUBSTITUTE(SUBSTITUTE(SUBSTITUTE(SUBSTITUTE(SUBSTITUTE(SUBSTITUTE(SUBSTITUTE(SUBSTITUTE(Table1[[#This Row],[Tanggal]],"Jan", "Jan"),"Feb","Feb"),"Mar","Mar"),"Apr","Apr"),"Mei","May"),"Jun","Jun"),"Jul","Jul"),"Agu","Aug"),"Sep","Sep"),"Okt","Oct"),"Nov","Nov"),"Des","Dec"))</f>
        <v>45787</v>
      </c>
      <c r="N93" t="str">
        <f>Table1[[#This Row],[ID_Transaksi]]</f>
        <v>INV-1092</v>
      </c>
      <c r="O93" s="5" t="str">
        <f>PROPER(TRIM(SUBSTITUTE(Table1[[#This Row],[Nama_Toko]],"""","")))</f>
        <v>Toko Mulia</v>
      </c>
      <c r="P93" s="3" t="str">
        <f>PROPER(TRIM(Table1[[#This Row],[Kategori_Produk]]))</f>
        <v>Makanan</v>
      </c>
      <c r="Q93" t="str">
        <f>PROPER(TRIM(Table1[Nama Produk]))</f>
        <v>Cuka Dapur Botol</v>
      </c>
      <c r="R93">
        <f>Table1[[#This Row],[Qty]]</f>
        <v>7</v>
      </c>
      <c r="S93" t="str">
        <f>SUBSTITUTE(SUBSTITUTE(Table1[[#This Row],[Harga_Satuan]],"Rp.",""),".","")</f>
        <v>9000</v>
      </c>
      <c r="T93">
        <f>Table1[[#This Row],[Total_Penjualan]]</f>
        <v>63000</v>
      </c>
      <c r="U93" t="str">
        <f>PROPER(Table1[[#This Row],[Kota]])</f>
        <v>Medan</v>
      </c>
      <c r="V93" t="str">
        <f>PROPER(Table1[[#This Row],[Metode_Pembayaran]])</f>
        <v>Tunai</v>
      </c>
    </row>
    <row r="94" spans="1:22" x14ac:dyDescent="0.25">
      <c r="A94" s="7" t="s">
        <v>1388</v>
      </c>
      <c r="B94" s="3" t="s">
        <v>354</v>
      </c>
      <c r="C94" s="3" t="s">
        <v>1038</v>
      </c>
      <c r="D94" s="3" t="s">
        <v>19</v>
      </c>
      <c r="E94" s="3" t="s">
        <v>355</v>
      </c>
      <c r="F94" s="3">
        <v>12</v>
      </c>
      <c r="G94" s="3">
        <v>11000</v>
      </c>
      <c r="H94" s="3">
        <v>132000</v>
      </c>
      <c r="I94" s="3" t="s">
        <v>913</v>
      </c>
      <c r="J94" s="4" t="s">
        <v>884</v>
      </c>
      <c r="M94" s="10">
        <f>DATEVALUE(SUBSTITUTE(SUBSTITUTE(SUBSTITUTE(SUBSTITUTE(SUBSTITUTE(SUBSTITUTE(SUBSTITUTE(SUBSTITUTE(SUBSTITUTE(SUBSTITUTE(SUBSTITUTE(SUBSTITUTE(Table1[[#This Row],[Tanggal]],"Jan", "Jan"),"Feb","Feb"),"Mar","Mar"),"Apr","Apr"),"Mei","May"),"Jun","Jun"),"Jul","Jul"),"Agu","Aug"),"Sep","Sep"),"Okt","Oct"),"Nov","Nov"),"Des","Dec"))</f>
        <v>45797</v>
      </c>
      <c r="N94" t="str">
        <f>Table1[[#This Row],[ID_Transaksi]]</f>
        <v>TRX-1093</v>
      </c>
      <c r="O94" s="5" t="str">
        <f>PROPER(TRIM(SUBSTITUTE(Table1[[#This Row],[Nama_Toko]],"""","")))</f>
        <v>Grosir Mantap</v>
      </c>
      <c r="P94" s="3" t="str">
        <f>PROPER(TRIM(Table1[[#This Row],[Kategori_Produk]]))</f>
        <v>Minuman</v>
      </c>
      <c r="Q94" t="str">
        <f>PROPER(TRIM(Table1[Nama Produk]))</f>
        <v>Es Kopi Susu Kemasan</v>
      </c>
      <c r="R94">
        <f>Table1[[#This Row],[Qty]]</f>
        <v>12</v>
      </c>
      <c r="S94" t="str">
        <f>SUBSTITUTE(SUBSTITUTE(Table1[[#This Row],[Harga_Satuan]],"Rp.",""),".","")</f>
        <v>11000</v>
      </c>
      <c r="T94">
        <f>Table1[[#This Row],[Total_Penjualan]]</f>
        <v>132000</v>
      </c>
      <c r="U94" t="str">
        <f>PROPER(Table1[[#This Row],[Kota]])</f>
        <v>Yogyakarta</v>
      </c>
      <c r="V94" t="str">
        <f>PROPER(Table1[[#This Row],[Metode_Pembayaran]])</f>
        <v>Kartu Debit</v>
      </c>
    </row>
    <row r="95" spans="1:22" x14ac:dyDescent="0.25">
      <c r="A95" s="8" t="s">
        <v>1389</v>
      </c>
      <c r="B95" s="5" t="s">
        <v>357</v>
      </c>
      <c r="C95" s="5" t="s">
        <v>1039</v>
      </c>
      <c r="D95" s="5" t="s">
        <v>886</v>
      </c>
      <c r="E95" s="5" t="s">
        <v>359</v>
      </c>
      <c r="F95" s="5">
        <v>2</v>
      </c>
      <c r="G95" s="5">
        <v>90000</v>
      </c>
      <c r="H95" s="5">
        <v>180000</v>
      </c>
      <c r="I95" s="5" t="s">
        <v>960</v>
      </c>
      <c r="J95" s="6" t="s">
        <v>888</v>
      </c>
      <c r="M95" s="10">
        <f>DATEVALUE(SUBSTITUTE(SUBSTITUTE(SUBSTITUTE(SUBSTITUTE(SUBSTITUTE(SUBSTITUTE(SUBSTITUTE(SUBSTITUTE(SUBSTITUTE(SUBSTITUTE(SUBSTITUTE(SUBSTITUTE(Table1[[#This Row],[Tanggal]],"Jan", "Jan"),"Feb","Feb"),"Mar","Mar"),"Apr","Apr"),"Mei","May"),"Jun","Jun"),"Jul","Jul"),"Agu","Aug"),"Sep","Sep"),"Okt","Oct"),"Nov","Nov"),"Des","Dec"))</f>
        <v>45809</v>
      </c>
      <c r="N95" t="str">
        <f>Table1[[#This Row],[ID_Transaksi]]</f>
        <v>INV-1094</v>
      </c>
      <c r="O95" s="5" t="str">
        <f>PROPER(TRIM(SUBSTITUTE(Table1[[#This Row],[Nama_Toko]],"""","")))</f>
        <v>Warung Serasi</v>
      </c>
      <c r="P95" s="3" t="str">
        <f>PROPER(TRIM(Table1[[#This Row],[Kategori_Produk]]))</f>
        <v>Elektronik</v>
      </c>
      <c r="Q95" t="str">
        <f>PROPER(TRIM(Table1[Nama Produk]))</f>
        <v>Kipas Angin Portable</v>
      </c>
      <c r="R95">
        <f>Table1[[#This Row],[Qty]]</f>
        <v>2</v>
      </c>
      <c r="S95" t="str">
        <f>SUBSTITUTE(SUBSTITUTE(Table1[[#This Row],[Harga_Satuan]],"Rp.",""),".","")</f>
        <v>90000</v>
      </c>
      <c r="T95">
        <f>Table1[[#This Row],[Total_Penjualan]]</f>
        <v>180000</v>
      </c>
      <c r="U95" t="str">
        <f>PROPER(Table1[[#This Row],[Kota]])</f>
        <v>Malang</v>
      </c>
      <c r="V95" t="str">
        <f>PROPER(Table1[[#This Row],[Metode_Pembayaran]])</f>
        <v>Kartu Kredit</v>
      </c>
    </row>
    <row r="96" spans="1:22" x14ac:dyDescent="0.25">
      <c r="A96" s="7" t="s">
        <v>1390</v>
      </c>
      <c r="B96" s="3" t="s">
        <v>360</v>
      </c>
      <c r="C96" s="3" t="s">
        <v>1040</v>
      </c>
      <c r="D96" s="3" t="s">
        <v>890</v>
      </c>
      <c r="E96" s="3" t="s">
        <v>361</v>
      </c>
      <c r="F96" s="3">
        <v>5</v>
      </c>
      <c r="G96" s="3">
        <v>20000</v>
      </c>
      <c r="H96" s="3">
        <v>100000</v>
      </c>
      <c r="I96" s="3" t="s">
        <v>883</v>
      </c>
      <c r="J96" s="4" t="s">
        <v>893</v>
      </c>
      <c r="M96" s="10">
        <f>DATEVALUE(SUBSTITUTE(SUBSTITUTE(SUBSTITUTE(SUBSTITUTE(SUBSTITUTE(SUBSTITUTE(SUBSTITUTE(SUBSTITUTE(SUBSTITUTE(SUBSTITUTE(SUBSTITUTE(SUBSTITUTE(Table1[[#This Row],[Tanggal]],"Jan", "Jan"),"Feb","Feb"),"Mar","Mar"),"Apr","Apr"),"Mei","May"),"Jun","Jun"),"Jul","Jul"),"Agu","Aug"),"Sep","Sep"),"Okt","Oct"),"Nov","Nov"),"Des","Dec"))</f>
        <v>45823</v>
      </c>
      <c r="N96" t="str">
        <f>Table1[[#This Row],[ID_Transaksi]]</f>
        <v>TRX-1095</v>
      </c>
      <c r="O96" s="5" t="str">
        <f>PROPER(TRIM(SUBSTITUTE(Table1[[#This Row],[Nama_Toko]],"""","")))</f>
        <v>Gudang Berkah</v>
      </c>
      <c r="P96" s="3" t="str">
        <f>PROPER(TRIM(Table1[[#This Row],[Kategori_Produk]]))</f>
        <v>Kecantikan</v>
      </c>
      <c r="Q96" t="str">
        <f>PROPER(TRIM(Table1[Nama Produk]))</f>
        <v>Kutek Warna Gel</v>
      </c>
      <c r="R96">
        <f>Table1[[#This Row],[Qty]]</f>
        <v>5</v>
      </c>
      <c r="S96" t="str">
        <f>SUBSTITUTE(SUBSTITUTE(Table1[[#This Row],[Harga_Satuan]],"Rp.",""),".","")</f>
        <v>20000</v>
      </c>
      <c r="T96">
        <f>Table1[[#This Row],[Total_Penjualan]]</f>
        <v>100000</v>
      </c>
      <c r="U96" t="str">
        <f>PROPER(Table1[[#This Row],[Kota]])</f>
        <v>Bandung</v>
      </c>
      <c r="V96" t="str">
        <f>PROPER(Table1[[#This Row],[Metode_Pembayaran]])</f>
        <v>Tunai</v>
      </c>
    </row>
    <row r="97" spans="1:22" x14ac:dyDescent="0.25">
      <c r="A97" s="8" t="s">
        <v>1391</v>
      </c>
      <c r="B97" s="5" t="s">
        <v>363</v>
      </c>
      <c r="C97" s="5" t="s">
        <v>1041</v>
      </c>
      <c r="D97" s="5" t="s">
        <v>895</v>
      </c>
      <c r="E97" s="5" t="s">
        <v>1042</v>
      </c>
      <c r="F97" s="5">
        <v>9</v>
      </c>
      <c r="G97" s="5">
        <v>15000</v>
      </c>
      <c r="H97" s="5">
        <v>135000</v>
      </c>
      <c r="I97" s="5" t="s">
        <v>932</v>
      </c>
      <c r="J97" s="6" t="s">
        <v>884</v>
      </c>
      <c r="M97" s="10">
        <f>DATEVALUE(SUBSTITUTE(SUBSTITUTE(SUBSTITUTE(SUBSTITUTE(SUBSTITUTE(SUBSTITUTE(SUBSTITUTE(SUBSTITUTE(SUBSTITUTE(SUBSTITUTE(SUBSTITUTE(SUBSTITUTE(Table1[[#This Row],[Tanggal]],"Jan", "Jan"),"Feb","Feb"),"Mar","Mar"),"Apr","Apr"),"Mei","May"),"Jun","Jun"),"Jul","Jul"),"Agu","Aug"),"Sep","Sep"),"Okt","Oct"),"Nov","Nov"),"Des","Dec"))</f>
        <v>45833</v>
      </c>
      <c r="N97" t="str">
        <f>Table1[[#This Row],[ID_Transaksi]]</f>
        <v>INV-1096</v>
      </c>
      <c r="O97" s="5" t="str">
        <f>PROPER(TRIM(SUBSTITUTE(Table1[[#This Row],[Nama_Toko]],"""","")))</f>
        <v>Toko Lancar</v>
      </c>
      <c r="P97" s="3" t="str">
        <f>PROPER(TRIM(Table1[[#This Row],[Kategori_Produk]]))</f>
        <v>Makanan</v>
      </c>
      <c r="Q97" t="str">
        <f>PROPER(TRIM(Table1[Nama Produk]))</f>
        <v>Roti Isi Daging</v>
      </c>
      <c r="R97">
        <f>Table1[[#This Row],[Qty]]</f>
        <v>9</v>
      </c>
      <c r="S97" t="str">
        <f>SUBSTITUTE(SUBSTITUTE(Table1[[#This Row],[Harga_Satuan]],"Rp.",""),".","")</f>
        <v>15000</v>
      </c>
      <c r="T97">
        <f>Table1[[#This Row],[Total_Penjualan]]</f>
        <v>135000</v>
      </c>
      <c r="U97" t="str">
        <f>PROPER(Table1[[#This Row],[Kota]])</f>
        <v>Semarang</v>
      </c>
      <c r="V97" t="str">
        <f>PROPER(Table1[[#This Row],[Metode_Pembayaran]])</f>
        <v>Kartu Debit</v>
      </c>
    </row>
    <row r="98" spans="1:22" x14ac:dyDescent="0.25">
      <c r="A98" s="7" t="s">
        <v>1392</v>
      </c>
      <c r="B98" s="3" t="s">
        <v>367</v>
      </c>
      <c r="C98" s="3" t="s">
        <v>1044</v>
      </c>
      <c r="D98" s="3" t="s">
        <v>43</v>
      </c>
      <c r="E98" s="3" t="s">
        <v>369</v>
      </c>
      <c r="F98" s="3">
        <v>1</v>
      </c>
      <c r="G98" s="3">
        <v>75000</v>
      </c>
      <c r="H98" s="3">
        <v>75000</v>
      </c>
      <c r="I98" s="3" t="s">
        <v>965</v>
      </c>
      <c r="J98" s="4" t="s">
        <v>880</v>
      </c>
      <c r="M98" s="10">
        <f>DATEVALUE(SUBSTITUTE(SUBSTITUTE(SUBSTITUTE(SUBSTITUTE(SUBSTITUTE(SUBSTITUTE(SUBSTITUTE(SUBSTITUTE(SUBSTITUTE(SUBSTITUTE(SUBSTITUTE(SUBSTITUTE(Table1[[#This Row],[Tanggal]],"Jan", "Jan"),"Feb","Feb"),"Mar","Mar"),"Apr","Apr"),"Mei","May"),"Jun","Jun"),"Jul","Jul"),"Agu","Aug"),"Sep","Sep"),"Okt","Oct"),"Nov","Nov"),"Des","Dec"))</f>
        <v>45843</v>
      </c>
      <c r="N98" t="str">
        <f>Table1[[#This Row],[ID_Transaksi]]</f>
        <v>TRX-1097</v>
      </c>
      <c r="O98" s="5" t="str">
        <f>PROPER(TRIM(SUBSTITUTE(Table1[[#This Row],[Nama_Toko]],"""","")))</f>
        <v>Pasar Sejuk</v>
      </c>
      <c r="P98" s="3" t="str">
        <f>PROPER(TRIM(Table1[[#This Row],[Kategori_Produk]]))</f>
        <v>Pakaian</v>
      </c>
      <c r="Q98" t="str">
        <f>PROPER(TRIM(Table1[Nama Produk]))</f>
        <v>Kacamata Hitam Fashion</v>
      </c>
      <c r="R98">
        <f>Table1[[#This Row],[Qty]]</f>
        <v>1</v>
      </c>
      <c r="S98" t="str">
        <f>SUBSTITUTE(SUBSTITUTE(Table1[[#This Row],[Harga_Satuan]],"Rp.",""),".","")</f>
        <v>75000</v>
      </c>
      <c r="T98">
        <f>Table1[[#This Row],[Total_Penjualan]]</f>
        <v>75000</v>
      </c>
      <c r="U98" t="str">
        <f>PROPER(Table1[[#This Row],[Kota]])</f>
        <v>Surabaya</v>
      </c>
      <c r="V98" t="str">
        <f>PROPER(Table1[[#This Row],[Metode_Pembayaran]])</f>
        <v>Tunai</v>
      </c>
    </row>
    <row r="99" spans="1:22" x14ac:dyDescent="0.25">
      <c r="A99" s="8" t="s">
        <v>1393</v>
      </c>
      <c r="B99" s="5" t="s">
        <v>370</v>
      </c>
      <c r="C99" s="5" t="s">
        <v>1045</v>
      </c>
      <c r="D99" s="5" t="s">
        <v>901</v>
      </c>
      <c r="E99" s="5" t="s">
        <v>371</v>
      </c>
      <c r="F99" s="5">
        <v>2</v>
      </c>
      <c r="G99" s="5">
        <v>80000</v>
      </c>
      <c r="H99" s="5">
        <v>160000</v>
      </c>
      <c r="I99" s="5" t="s">
        <v>937</v>
      </c>
      <c r="J99" s="6" t="s">
        <v>29</v>
      </c>
      <c r="M99" s="10">
        <f>DATEVALUE(SUBSTITUTE(SUBSTITUTE(SUBSTITUTE(SUBSTITUTE(SUBSTITUTE(SUBSTITUTE(SUBSTITUTE(SUBSTITUTE(SUBSTITUTE(SUBSTITUTE(SUBSTITUTE(SUBSTITUTE(Table1[[#This Row],[Tanggal]],"Jan", "Jan"),"Feb","Feb"),"Mar","Mar"),"Apr","Apr"),"Mei","May"),"Jun","Jun"),"Jul","Jul"),"Agu","Aug"),"Sep","Sep"),"Okt","Oct"),"Nov","Nov"),"Des","Dec"))</f>
        <v>45853</v>
      </c>
      <c r="N99" t="str">
        <f>Table1[[#This Row],[ID_Transaksi]]</f>
        <v>INV-1098</v>
      </c>
      <c r="O99" s="5" t="str">
        <f>PROPER(TRIM(SUBSTITUTE(Table1[[#This Row],[Nama_Toko]],"""","")))</f>
        <v>Minimarket Andal</v>
      </c>
      <c r="P99" s="3" t="str">
        <f>PROPER(TRIM(Table1[[#This Row],[Kategori_Produk]]))</f>
        <v>Mainan</v>
      </c>
      <c r="Q99" t="str">
        <f>PROPER(TRIM(Table1[Nama Produk]))</f>
        <v>Set Alat Dokter Mainan</v>
      </c>
      <c r="R99">
        <f>Table1[[#This Row],[Qty]]</f>
        <v>2</v>
      </c>
      <c r="S99" t="str">
        <f>SUBSTITUTE(SUBSTITUTE(Table1[[#This Row],[Harga_Satuan]],"Rp.",""),".","")</f>
        <v>80000</v>
      </c>
      <c r="T99">
        <f>Table1[[#This Row],[Total_Penjualan]]</f>
        <v>160000</v>
      </c>
      <c r="U99" t="str">
        <f>PROPER(Table1[[#This Row],[Kota]])</f>
        <v>Depok</v>
      </c>
      <c r="V99" t="str">
        <f>PROPER(Table1[[#This Row],[Metode_Pembayaran]])</f>
        <v>Kartu Kredit</v>
      </c>
    </row>
    <row r="100" spans="1:22" x14ac:dyDescent="0.25">
      <c r="A100" s="7" t="s">
        <v>1394</v>
      </c>
      <c r="B100" s="3" t="s">
        <v>373</v>
      </c>
      <c r="C100" s="3" t="s">
        <v>1046</v>
      </c>
      <c r="D100" s="3" t="s">
        <v>12</v>
      </c>
      <c r="E100" s="3" t="s">
        <v>375</v>
      </c>
      <c r="F100" s="3">
        <v>10</v>
      </c>
      <c r="G100" s="3">
        <v>16000</v>
      </c>
      <c r="H100" s="3">
        <v>160000</v>
      </c>
      <c r="I100" s="3" t="s">
        <v>968</v>
      </c>
      <c r="J100" s="4" t="s">
        <v>893</v>
      </c>
      <c r="M100" s="10">
        <f>DATEVALUE(SUBSTITUTE(SUBSTITUTE(SUBSTITUTE(SUBSTITUTE(SUBSTITUTE(SUBSTITUTE(SUBSTITUTE(SUBSTITUTE(SUBSTITUTE(SUBSTITUTE(SUBSTITUTE(SUBSTITUTE(Table1[[#This Row],[Tanggal]],"Jan", "Jan"),"Feb","Feb"),"Mar","Mar"),"Apr","Apr"),"Mei","May"),"Jun","Jun"),"Jul","Jul"),"Agu","Aug"),"Sep","Sep"),"Okt","Oct"),"Nov","Nov"),"Des","Dec"))</f>
        <v>45863</v>
      </c>
      <c r="N100" t="str">
        <f>Table1[[#This Row],[ID_Transaksi]]</f>
        <v>TRX-1099</v>
      </c>
      <c r="O100" s="5" t="str">
        <f>PROPER(TRIM(SUBSTITUTE(Table1[[#This Row],[Nama_Toko]],"""","")))</f>
        <v>Toko Baru</v>
      </c>
      <c r="P100" s="3" t="str">
        <f>PROPER(TRIM(Table1[[#This Row],[Kategori_Produk]]))</f>
        <v>Makanan</v>
      </c>
      <c r="Q100" t="str">
        <f>PROPER(TRIM(Table1[Nama Produk]))</f>
        <v>Kerupuk Ikan Premium</v>
      </c>
      <c r="R100">
        <f>Table1[[#This Row],[Qty]]</f>
        <v>10</v>
      </c>
      <c r="S100" t="str">
        <f>SUBSTITUTE(SUBSTITUTE(Table1[[#This Row],[Harga_Satuan]],"Rp.",""),".","")</f>
        <v>16000</v>
      </c>
      <c r="T100">
        <f>Table1[[#This Row],[Total_Penjualan]]</f>
        <v>160000</v>
      </c>
      <c r="U100" t="str">
        <f>PROPER(Table1[[#This Row],[Kota]])</f>
        <v>Jakarta Selatan</v>
      </c>
      <c r="V100" t="str">
        <f>PROPER(Table1[[#This Row],[Metode_Pembayaran]])</f>
        <v>Tunai</v>
      </c>
    </row>
    <row r="101" spans="1:22" x14ac:dyDescent="0.25">
      <c r="A101" s="8" t="s">
        <v>1395</v>
      </c>
      <c r="B101" s="5" t="s">
        <v>377</v>
      </c>
      <c r="C101" s="5" t="s">
        <v>1047</v>
      </c>
      <c r="D101" s="5" t="s">
        <v>19</v>
      </c>
      <c r="E101" s="5" t="s">
        <v>378</v>
      </c>
      <c r="F101" s="5">
        <v>4</v>
      </c>
      <c r="G101" s="5">
        <v>18000</v>
      </c>
      <c r="H101" s="5">
        <v>72000</v>
      </c>
      <c r="I101" s="5" t="s">
        <v>915</v>
      </c>
      <c r="J101" s="6" t="s">
        <v>884</v>
      </c>
      <c r="M101" s="10">
        <f>DATEVALUE(SUBSTITUTE(SUBSTITUTE(SUBSTITUTE(SUBSTITUTE(SUBSTITUTE(SUBSTITUTE(SUBSTITUTE(SUBSTITUTE(SUBSTITUTE(SUBSTITUTE(SUBSTITUTE(SUBSTITUTE(Table1[[#This Row],[Tanggal]],"Jan", "Jan"),"Feb","Feb"),"Mar","Mar"),"Apr","Apr"),"Mei","May"),"Jun","Jun"),"Jul","Jul"),"Agu","Aug"),"Sep","Sep"),"Okt","Oct"),"Nov","Nov"),"Des","Dec"))</f>
        <v>45870</v>
      </c>
      <c r="N101" t="str">
        <f>Table1[[#This Row],[ID_Transaksi]]</f>
        <v>INV-1100</v>
      </c>
      <c r="O101" s="5" t="str">
        <f>PROPER(TRIM(SUBSTITUTE(Table1[[#This Row],[Nama_Toko]],"""","")))</f>
        <v>Grosir Lama</v>
      </c>
      <c r="P101" s="3" t="str">
        <f>PROPER(TRIM(Table1[[#This Row],[Kategori_Produk]]))</f>
        <v>Minuman</v>
      </c>
      <c r="Q101" t="str">
        <f>PROPER(TRIM(Table1[Nama Produk]))</f>
        <v>Air Kelapa Murni Botol</v>
      </c>
      <c r="R101">
        <f>Table1[[#This Row],[Qty]]</f>
        <v>4</v>
      </c>
      <c r="S101" t="str">
        <f>SUBSTITUTE(SUBSTITUTE(Table1[[#This Row],[Harga_Satuan]],"Rp.",""),".","")</f>
        <v>18000</v>
      </c>
      <c r="T101">
        <f>Table1[[#This Row],[Total_Penjualan]]</f>
        <v>72000</v>
      </c>
      <c r="U101" t="str">
        <f>PROPER(Table1[[#This Row],[Kota]])</f>
        <v>Medan</v>
      </c>
      <c r="V101" t="str">
        <f>PROPER(Table1[[#This Row],[Metode_Pembayaran]])</f>
        <v>Kartu Debit</v>
      </c>
    </row>
    <row r="102" spans="1:22" x14ac:dyDescent="0.25">
      <c r="A102" s="7" t="s">
        <v>1043</v>
      </c>
      <c r="B102" s="3" t="s">
        <v>380</v>
      </c>
      <c r="C102" s="3" t="s">
        <v>1048</v>
      </c>
      <c r="D102" s="3" t="s">
        <v>886</v>
      </c>
      <c r="E102" s="3" t="s">
        <v>1049</v>
      </c>
      <c r="F102" s="3">
        <v>3</v>
      </c>
      <c r="G102" s="3">
        <v>120000</v>
      </c>
      <c r="H102" s="3">
        <v>360000</v>
      </c>
      <c r="I102" s="3" t="s">
        <v>913</v>
      </c>
      <c r="J102" s="4" t="s">
        <v>888</v>
      </c>
      <c r="M102" s="10">
        <f>DATEVALUE(SUBSTITUTE(SUBSTITUTE(SUBSTITUTE(SUBSTITUTE(SUBSTITUTE(SUBSTITUTE(SUBSTITUTE(SUBSTITUTE(SUBSTITUTE(SUBSTITUTE(SUBSTITUTE(SUBSTITUTE(Table1[[#This Row],[Tanggal]],"Jan", "Jan"),"Feb","Feb"),"Mar","Mar"),"Apr","Apr"),"Mei","May"),"Jun","Jun"),"Jul","Jul"),"Agu","Aug"),"Sep","Sep"),"Okt","Oct"),"Nov","Nov"),"Des","Dec"))</f>
        <v>45879</v>
      </c>
      <c r="N102" t="str">
        <f>Table1[[#This Row],[ID_Transaksi]]</f>
        <v>TRX-1101</v>
      </c>
      <c r="O102" s="5" t="str">
        <f>PROPER(TRIM(SUBSTITUTE(Table1[[#This Row],[Nama_Toko]],"""","")))</f>
        <v>Warung Ramai</v>
      </c>
      <c r="P102" s="3" t="str">
        <f>PROPER(TRIM(Table1[[#This Row],[Kategori_Produk]]))</f>
        <v>Elektronik</v>
      </c>
      <c r="Q102" t="str">
        <f>PROPER(TRIM(Table1[Nama Produk]))</f>
        <v>Adaptor Charger Hp Fast Charging</v>
      </c>
      <c r="R102">
        <f>Table1[[#This Row],[Qty]]</f>
        <v>3</v>
      </c>
      <c r="S102" t="str">
        <f>SUBSTITUTE(SUBSTITUTE(Table1[[#This Row],[Harga_Satuan]],"Rp.",""),".","")</f>
        <v>120000</v>
      </c>
      <c r="T102">
        <f>Table1[[#This Row],[Total_Penjualan]]</f>
        <v>360000</v>
      </c>
      <c r="U102" t="str">
        <f>PROPER(Table1[[#This Row],[Kota]])</f>
        <v>Yogyakarta</v>
      </c>
      <c r="V102" t="str">
        <f>PROPER(Table1[[#This Row],[Metode_Pembayaran]])</f>
        <v>Kartu Kredit</v>
      </c>
    </row>
    <row r="103" spans="1:22" x14ac:dyDescent="0.25">
      <c r="A103" s="8" t="s">
        <v>1396</v>
      </c>
      <c r="B103" s="5" t="s">
        <v>383</v>
      </c>
      <c r="C103" s="5" t="s">
        <v>1050</v>
      </c>
      <c r="D103" s="5" t="s">
        <v>890</v>
      </c>
      <c r="E103" s="5" t="s">
        <v>384</v>
      </c>
      <c r="F103" s="5">
        <v>8</v>
      </c>
      <c r="G103" s="5">
        <v>11000</v>
      </c>
      <c r="H103" s="5">
        <v>88000</v>
      </c>
      <c r="I103" s="5" t="s">
        <v>960</v>
      </c>
      <c r="J103" s="6" t="s">
        <v>893</v>
      </c>
      <c r="M103" s="10">
        <f>DATEVALUE(SUBSTITUTE(SUBSTITUTE(SUBSTITUTE(SUBSTITUTE(SUBSTITUTE(SUBSTITUTE(SUBSTITUTE(SUBSTITUTE(SUBSTITUTE(SUBSTITUTE(SUBSTITUTE(SUBSTITUTE(Table1[[#This Row],[Tanggal]],"Jan", "Jan"),"Feb","Feb"),"Mar","Mar"),"Apr","Apr"),"Mei","May"),"Jun","Jun"),"Jul","Jul"),"Agu","Aug"),"Sep","Sep"),"Okt","Oct"),"Nov","Nov"),"Des","Dec"))</f>
        <v>45889</v>
      </c>
      <c r="N103" t="str">
        <f>Table1[[#This Row],[ID_Transaksi]]</f>
        <v>INV-1102</v>
      </c>
      <c r="O103" s="5" t="str">
        <f>PROPER(TRIM(SUBSTITUTE(Table1[[#This Row],[Nama_Toko]],"""","")))</f>
        <v>Gudang Barat</v>
      </c>
      <c r="P103" s="3" t="str">
        <f>PROPER(TRIM(Table1[[#This Row],[Kategori_Produk]]))</f>
        <v>Kecantikan</v>
      </c>
      <c r="Q103" t="str">
        <f>PROPER(TRIM(Table1[Nama Produk]))</f>
        <v>Lotion Anti Nyamuk</v>
      </c>
      <c r="R103">
        <f>Table1[[#This Row],[Qty]]</f>
        <v>8</v>
      </c>
      <c r="S103" t="str">
        <f>SUBSTITUTE(SUBSTITUTE(Table1[[#This Row],[Harga_Satuan]],"Rp.",""),".","")</f>
        <v>11000</v>
      </c>
      <c r="T103">
        <f>Table1[[#This Row],[Total_Penjualan]]</f>
        <v>88000</v>
      </c>
      <c r="U103" t="str">
        <f>PROPER(Table1[[#This Row],[Kota]])</f>
        <v>Malang</v>
      </c>
      <c r="V103" t="str">
        <f>PROPER(Table1[[#This Row],[Metode_Pembayaran]])</f>
        <v>Tunai</v>
      </c>
    </row>
    <row r="104" spans="1:22" x14ac:dyDescent="0.25">
      <c r="A104" s="7" t="s">
        <v>1397</v>
      </c>
      <c r="B104" s="3" t="s">
        <v>386</v>
      </c>
      <c r="C104" s="3" t="s">
        <v>1052</v>
      </c>
      <c r="D104" s="3" t="s">
        <v>895</v>
      </c>
      <c r="E104" s="3" t="s">
        <v>1053</v>
      </c>
      <c r="F104" s="3">
        <v>5</v>
      </c>
      <c r="G104" s="3">
        <v>28000</v>
      </c>
      <c r="H104" s="3">
        <v>140000</v>
      </c>
      <c r="I104" s="3" t="s">
        <v>21</v>
      </c>
      <c r="J104" s="4" t="s">
        <v>884</v>
      </c>
      <c r="M104" s="10">
        <f>DATEVALUE(SUBSTITUTE(SUBSTITUTE(SUBSTITUTE(SUBSTITUTE(SUBSTITUTE(SUBSTITUTE(SUBSTITUTE(SUBSTITUTE(SUBSTITUTE(SUBSTITUTE(SUBSTITUTE(SUBSTITUTE(Table1[[#This Row],[Tanggal]],"Jan", "Jan"),"Feb","Feb"),"Mar","Mar"),"Apr","Apr"),"Mei","May"),"Jun","Jun"),"Jul","Jul"),"Agu","Aug"),"Sep","Sep"),"Okt","Oct"),"Nov","Nov"),"Des","Dec"))</f>
        <v>45901</v>
      </c>
      <c r="N104" t="str">
        <f>Table1[[#This Row],[ID_Transaksi]]</f>
        <v>TRX-1103</v>
      </c>
      <c r="O104" s="5" t="str">
        <f>PROPER(TRIM(SUBSTITUTE(Table1[[#This Row],[Nama_Toko]],"""","")))</f>
        <v>Toko Cepat</v>
      </c>
      <c r="P104" s="3" t="str">
        <f>PROPER(TRIM(Table1[[#This Row],[Kategori_Produk]]))</f>
        <v>Makanan</v>
      </c>
      <c r="Q104" t="str">
        <f>PROPER(TRIM(Table1[Nama Produk]))</f>
        <v>Bawang Putih 1 Kg</v>
      </c>
      <c r="R104">
        <f>Table1[[#This Row],[Qty]]</f>
        <v>5</v>
      </c>
      <c r="S104" t="str">
        <f>SUBSTITUTE(SUBSTITUTE(Table1[[#This Row],[Harga_Satuan]],"Rp.",""),".","")</f>
        <v>28000</v>
      </c>
      <c r="T104">
        <f>Table1[[#This Row],[Total_Penjualan]]</f>
        <v>140000</v>
      </c>
      <c r="U104" t="str">
        <f>PROPER(Table1[[#This Row],[Kota]])</f>
        <v>Bandung</v>
      </c>
      <c r="V104" t="str">
        <f>PROPER(Table1[[#This Row],[Metode_Pembayaran]])</f>
        <v>Kartu Debit</v>
      </c>
    </row>
    <row r="105" spans="1:22" x14ac:dyDescent="0.25">
      <c r="A105" s="8" t="s">
        <v>1398</v>
      </c>
      <c r="B105" s="5" t="s">
        <v>390</v>
      </c>
      <c r="C105" s="5" t="s">
        <v>1054</v>
      </c>
      <c r="D105" s="5" t="s">
        <v>43</v>
      </c>
      <c r="E105" s="5" t="s">
        <v>392</v>
      </c>
      <c r="F105" s="5">
        <v>1</v>
      </c>
      <c r="G105" s="5">
        <v>90000</v>
      </c>
      <c r="H105" s="5">
        <v>90000</v>
      </c>
      <c r="I105" s="5" t="s">
        <v>932</v>
      </c>
      <c r="J105" s="6" t="s">
        <v>880</v>
      </c>
      <c r="M105" s="10">
        <f>DATEVALUE(SUBSTITUTE(SUBSTITUTE(SUBSTITUTE(SUBSTITUTE(SUBSTITUTE(SUBSTITUTE(SUBSTITUTE(SUBSTITUTE(SUBSTITUTE(SUBSTITUTE(SUBSTITUTE(SUBSTITUTE(Table1[[#This Row],[Tanggal]],"Jan", "Jan"),"Feb","Feb"),"Mar","Mar"),"Apr","Apr"),"Mei","May"),"Jun","Jun"),"Jul","Jul"),"Agu","Aug"),"Sep","Sep"),"Okt","Oct"),"Nov","Nov"),"Des","Dec"))</f>
        <v>45915</v>
      </c>
      <c r="N105" t="str">
        <f>Table1[[#This Row],[ID_Transaksi]]</f>
        <v>INV-1104</v>
      </c>
      <c r="O105" s="5" t="str">
        <f>PROPER(TRIM(SUBSTITUTE(Table1[[#This Row],[Nama_Toko]],"""","")))</f>
        <v>Pasar Jumat</v>
      </c>
      <c r="P105" s="3" t="str">
        <f>PROPER(TRIM(Table1[[#This Row],[Kategori_Produk]]))</f>
        <v>Pakaian</v>
      </c>
      <c r="Q105" t="str">
        <f>PROPER(TRIM(Table1[Nama Produk]))</f>
        <v>Sabuk Kulit Pria</v>
      </c>
      <c r="R105">
        <f>Table1[[#This Row],[Qty]]</f>
        <v>1</v>
      </c>
      <c r="S105" t="str">
        <f>SUBSTITUTE(SUBSTITUTE(Table1[[#This Row],[Harga_Satuan]],"Rp.",""),".","")</f>
        <v>90000</v>
      </c>
      <c r="T105">
        <f>Table1[[#This Row],[Total_Penjualan]]</f>
        <v>90000</v>
      </c>
      <c r="U105" t="str">
        <f>PROPER(Table1[[#This Row],[Kota]])</f>
        <v>Semarang</v>
      </c>
      <c r="V105" t="str">
        <f>PROPER(Table1[[#This Row],[Metode_Pembayaran]])</f>
        <v>Tunai</v>
      </c>
    </row>
    <row r="106" spans="1:22" x14ac:dyDescent="0.25">
      <c r="A106" s="7" t="s">
        <v>1399</v>
      </c>
      <c r="B106" s="3" t="s">
        <v>393</v>
      </c>
      <c r="C106" s="3" t="s">
        <v>1055</v>
      </c>
      <c r="D106" s="3" t="s">
        <v>901</v>
      </c>
      <c r="E106" s="3" t="s">
        <v>395</v>
      </c>
      <c r="F106" s="3">
        <v>6</v>
      </c>
      <c r="G106" s="3">
        <v>50000</v>
      </c>
      <c r="H106" s="3">
        <v>300000</v>
      </c>
      <c r="I106" s="3" t="s">
        <v>28</v>
      </c>
      <c r="J106" s="4" t="s">
        <v>29</v>
      </c>
      <c r="M106" s="10">
        <f>DATEVALUE(SUBSTITUTE(SUBSTITUTE(SUBSTITUTE(SUBSTITUTE(SUBSTITUTE(SUBSTITUTE(SUBSTITUTE(SUBSTITUTE(SUBSTITUTE(SUBSTITUTE(SUBSTITUTE(SUBSTITUTE(Table1[[#This Row],[Tanggal]],"Jan", "Jan"),"Feb","Feb"),"Mar","Mar"),"Apr","Apr"),"Mei","May"),"Jun","Jun"),"Jul","Jul"),"Agu","Aug"),"Sep","Sep"),"Okt","Oct"),"Nov","Nov"),"Des","Dec"))</f>
        <v>45925</v>
      </c>
      <c r="N106" t="str">
        <f>Table1[[#This Row],[ID_Transaksi]]</f>
        <v>TRX-1105</v>
      </c>
      <c r="O106" s="5" t="str">
        <f>PROPER(TRIM(SUBSTITUTE(Table1[[#This Row],[Nama_Toko]],"""","")))</f>
        <v>Minimarket Utama</v>
      </c>
      <c r="P106" s="3" t="str">
        <f>PROPER(TRIM(Table1[[#This Row],[Kategori_Produk]]))</f>
        <v>Mainan</v>
      </c>
      <c r="Q106" t="str">
        <f>PROPER(TRIM(Table1[Nama Produk]))</f>
        <v>Mainan Balok Susun Kayu</v>
      </c>
      <c r="R106">
        <f>Table1[[#This Row],[Qty]]</f>
        <v>6</v>
      </c>
      <c r="S106" t="str">
        <f>SUBSTITUTE(SUBSTITUTE(Table1[[#This Row],[Harga_Satuan]],"Rp.",""),".","")</f>
        <v>50000</v>
      </c>
      <c r="T106">
        <f>Table1[[#This Row],[Total_Penjualan]]</f>
        <v>300000</v>
      </c>
      <c r="U106" t="str">
        <f>PROPER(Table1[[#This Row],[Kota]])</f>
        <v>Surabaya</v>
      </c>
      <c r="V106" t="str">
        <f>PROPER(Table1[[#This Row],[Metode_Pembayaran]])</f>
        <v>Kartu Kredit</v>
      </c>
    </row>
    <row r="107" spans="1:22" x14ac:dyDescent="0.25">
      <c r="A107" s="8" t="s">
        <v>1400</v>
      </c>
      <c r="B107" s="5" t="s">
        <v>397</v>
      </c>
      <c r="C107" s="5" t="s">
        <v>1056</v>
      </c>
      <c r="D107" s="5" t="s">
        <v>12</v>
      </c>
      <c r="E107" s="5" t="s">
        <v>1057</v>
      </c>
      <c r="F107" s="5">
        <v>2</v>
      </c>
      <c r="G107" s="5">
        <v>85000</v>
      </c>
      <c r="H107" s="5">
        <v>170000</v>
      </c>
      <c r="I107" s="5" t="s">
        <v>923</v>
      </c>
      <c r="J107" s="6" t="s">
        <v>893</v>
      </c>
      <c r="M107" s="10">
        <f>DATEVALUE(SUBSTITUTE(SUBSTITUTE(SUBSTITUTE(SUBSTITUTE(SUBSTITUTE(SUBSTITUTE(SUBSTITUTE(SUBSTITUTE(SUBSTITUTE(SUBSTITUTE(SUBSTITUTE(SUBSTITUTE(Table1[[#This Row],[Tanggal]],"Jan", "Jan"),"Feb","Feb"),"Mar","Mar"),"Apr","Apr"),"Mei","May"),"Jun","Jun"),"Jul","Jul"),"Agu","Aug"),"Sep","Sep"),"Okt","Oct"),"Nov","Nov"),"Des","Dec"))</f>
        <v>45935</v>
      </c>
      <c r="N107" t="str">
        <f>Table1[[#This Row],[ID_Transaksi]]</f>
        <v>INV-1106</v>
      </c>
      <c r="O107" s="5" t="str">
        <f>PROPER(TRIM(SUBSTITUTE(Table1[[#This Row],[Nama_Toko]],"""","")))</f>
        <v>Toko Hemat</v>
      </c>
      <c r="P107" s="3" t="str">
        <f>PROPER(TRIM(Table1[[#This Row],[Kategori_Produk]]))</f>
        <v>Makanan</v>
      </c>
      <c r="Q107" t="str">
        <f>PROPER(TRIM(Table1[Nama Produk]))</f>
        <v>Daging Sapi Beku 500G</v>
      </c>
      <c r="R107">
        <f>Table1[[#This Row],[Qty]]</f>
        <v>2</v>
      </c>
      <c r="S107" t="str">
        <f>SUBSTITUTE(SUBSTITUTE(Table1[[#This Row],[Harga_Satuan]],"Rp.",""),".","")</f>
        <v>85000</v>
      </c>
      <c r="T107">
        <f>Table1[[#This Row],[Total_Penjualan]]</f>
        <v>170000</v>
      </c>
      <c r="U107" t="str">
        <f>PROPER(Table1[[#This Row],[Kota]])</f>
        <v>Denpasar</v>
      </c>
      <c r="V107" t="str">
        <f>PROPER(Table1[[#This Row],[Metode_Pembayaran]])</f>
        <v>Tunai</v>
      </c>
    </row>
    <row r="108" spans="1:22" x14ac:dyDescent="0.25">
      <c r="A108" s="7" t="s">
        <v>1051</v>
      </c>
      <c r="B108" s="3" t="s">
        <v>401</v>
      </c>
      <c r="C108" s="3" t="s">
        <v>1058</v>
      </c>
      <c r="D108" s="3" t="s">
        <v>19</v>
      </c>
      <c r="E108" s="3" t="s">
        <v>402</v>
      </c>
      <c r="F108" s="3">
        <v>1</v>
      </c>
      <c r="G108" s="3">
        <v>150000</v>
      </c>
      <c r="H108" s="3">
        <v>150000</v>
      </c>
      <c r="I108" s="3" t="s">
        <v>1004</v>
      </c>
      <c r="J108" s="4" t="s">
        <v>884</v>
      </c>
      <c r="M108" s="10">
        <f>DATEVALUE(SUBSTITUTE(SUBSTITUTE(SUBSTITUTE(SUBSTITUTE(SUBSTITUTE(SUBSTITUTE(SUBSTITUTE(SUBSTITUTE(SUBSTITUTE(SUBSTITUTE(SUBSTITUTE(SUBSTITUTE(Table1[[#This Row],[Tanggal]],"Jan", "Jan"),"Feb","Feb"),"Mar","Mar"),"Apr","Apr"),"Mei","May"),"Jun","Jun"),"Jul","Jul"),"Agu","Aug"),"Sep","Sep"),"Okt","Oct"),"Nov","Nov"),"Des","Dec"))</f>
        <v>45945</v>
      </c>
      <c r="N108" t="str">
        <f>Table1[[#This Row],[ID_Transaksi]]</f>
        <v>TRX-1107</v>
      </c>
      <c r="O108" s="5" t="str">
        <f>PROPER(TRIM(SUBSTITUTE(Table1[[#This Row],[Nama_Toko]],"""","")))</f>
        <v>Grosir Terlaris</v>
      </c>
      <c r="P108" s="3" t="str">
        <f>PROPER(TRIM(Table1[[#This Row],[Kategori_Produk]]))</f>
        <v>Minuman</v>
      </c>
      <c r="Q108" t="str">
        <f>PROPER(TRIM(Table1[Nama Produk]))</f>
        <v>Susu Bubuk Bayi Kotak</v>
      </c>
      <c r="R108">
        <f>Table1[[#This Row],[Qty]]</f>
        <v>1</v>
      </c>
      <c r="S108" t="str">
        <f>SUBSTITUTE(SUBSTITUTE(Table1[[#This Row],[Harga_Satuan]],"Rp.",""),".","")</f>
        <v>150000</v>
      </c>
      <c r="T108">
        <f>Table1[[#This Row],[Total_Penjualan]]</f>
        <v>150000</v>
      </c>
      <c r="U108" t="str">
        <f>PROPER(Table1[[#This Row],[Kota]])</f>
        <v>Jakarta</v>
      </c>
      <c r="V108" t="str">
        <f>PROPER(Table1[[#This Row],[Metode_Pembayaran]])</f>
        <v>Kartu Debit</v>
      </c>
    </row>
    <row r="109" spans="1:22" x14ac:dyDescent="0.25">
      <c r="A109" s="8" t="s">
        <v>1401</v>
      </c>
      <c r="B109" s="5" t="s">
        <v>403</v>
      </c>
      <c r="C109" s="5" t="s">
        <v>1059</v>
      </c>
      <c r="D109" s="5" t="s">
        <v>886</v>
      </c>
      <c r="E109" s="5" t="s">
        <v>1060</v>
      </c>
      <c r="F109" s="5">
        <v>3</v>
      </c>
      <c r="G109" s="5">
        <v>80000</v>
      </c>
      <c r="H109" s="5">
        <v>240000</v>
      </c>
      <c r="I109" s="5" t="s">
        <v>915</v>
      </c>
      <c r="J109" s="6" t="s">
        <v>888</v>
      </c>
      <c r="M109" s="10">
        <f>DATEVALUE(SUBSTITUTE(SUBSTITUTE(SUBSTITUTE(SUBSTITUTE(SUBSTITUTE(SUBSTITUTE(SUBSTITUTE(SUBSTITUTE(SUBSTITUTE(SUBSTITUTE(SUBSTITUTE(SUBSTITUTE(Table1[[#This Row],[Tanggal]],"Jan", "Jan"),"Feb","Feb"),"Mar","Mar"),"Apr","Apr"),"Mei","May"),"Jun","Jun"),"Jul","Jul"),"Agu","Aug"),"Sep","Sep"),"Okt","Oct"),"Nov","Nov"),"Des","Dec"))</f>
        <v>45955</v>
      </c>
      <c r="N109" t="str">
        <f>Table1[[#This Row],[ID_Transaksi]]</f>
        <v>INV-1108</v>
      </c>
      <c r="O109" s="5" t="str">
        <f>PROPER(TRIM(SUBSTITUTE(Table1[[#This Row],[Nama_Toko]],"""","")))</f>
        <v>Warung Sejuk</v>
      </c>
      <c r="P109" s="3" t="str">
        <f>PROPER(TRIM(Table1[[#This Row],[Kategori_Produk]]))</f>
        <v>Elektronik</v>
      </c>
      <c r="Q109" t="str">
        <f>PROPER(TRIM(Table1[Nama Produk]))</f>
        <v>Power Bank Mini 5000Mah</v>
      </c>
      <c r="R109">
        <f>Table1[[#This Row],[Qty]]</f>
        <v>3</v>
      </c>
      <c r="S109" t="str">
        <f>SUBSTITUTE(SUBSTITUTE(Table1[[#This Row],[Harga_Satuan]],"Rp.",""),".","")</f>
        <v>80000</v>
      </c>
      <c r="T109">
        <f>Table1[[#This Row],[Total_Penjualan]]</f>
        <v>240000</v>
      </c>
      <c r="U109" t="str">
        <f>PROPER(Table1[[#This Row],[Kota]])</f>
        <v>Medan</v>
      </c>
      <c r="V109" t="str">
        <f>PROPER(Table1[[#This Row],[Metode_Pembayaran]])</f>
        <v>Kartu Kredit</v>
      </c>
    </row>
    <row r="110" spans="1:22" x14ac:dyDescent="0.25">
      <c r="A110" s="7" t="s">
        <v>1402</v>
      </c>
      <c r="B110" s="3" t="s">
        <v>407</v>
      </c>
      <c r="C110" s="3" t="s">
        <v>1062</v>
      </c>
      <c r="D110" s="3" t="s">
        <v>890</v>
      </c>
      <c r="E110" s="3" t="s">
        <v>1063</v>
      </c>
      <c r="F110" s="3">
        <v>1</v>
      </c>
      <c r="G110" s="3">
        <v>95000</v>
      </c>
      <c r="H110" s="3">
        <v>95000</v>
      </c>
      <c r="I110" s="3" t="s">
        <v>958</v>
      </c>
      <c r="J110" s="4" t="s">
        <v>893</v>
      </c>
      <c r="M110" s="10">
        <f>DATEVALUE(SUBSTITUTE(SUBSTITUTE(SUBSTITUTE(SUBSTITUTE(SUBSTITUTE(SUBSTITUTE(SUBSTITUTE(SUBSTITUTE(SUBSTITUTE(SUBSTITUTE(SUBSTITUTE(SUBSTITUTE(Table1[[#This Row],[Tanggal]],"Jan", "Jan"),"Feb","Feb"),"Mar","Mar"),"Apr","Apr"),"Mei","May"),"Jun","Jun"),"Jul","Jul"),"Agu","Aug"),"Sep","Sep"),"Okt","Oct"),"Nov","Nov"),"Des","Dec"))</f>
        <v>45962</v>
      </c>
      <c r="N110" t="str">
        <f>Table1[[#This Row],[ID_Transaksi]]</f>
        <v>TRX-1109</v>
      </c>
      <c r="O110" s="5" t="str">
        <f>PROPER(TRIM(SUBSTITUTE(Table1[[#This Row],[Nama_Toko]],"""","")))</f>
        <v>Gudang Timur</v>
      </c>
      <c r="P110" s="3" t="str">
        <f>PROPER(TRIM(Table1[[#This Row],[Kategori_Produk]]))</f>
        <v>Kecantikan</v>
      </c>
      <c r="Q110" t="str">
        <f>PROPER(TRIM(Table1[Nama Produk]))</f>
        <v>Cermin Rias Led</v>
      </c>
      <c r="R110">
        <f>Table1[[#This Row],[Qty]]</f>
        <v>1</v>
      </c>
      <c r="S110" t="str">
        <f>SUBSTITUTE(SUBSTITUTE(Table1[[#This Row],[Harga_Satuan]],"Rp.",""),".","")</f>
        <v>95000</v>
      </c>
      <c r="T110">
        <f>Table1[[#This Row],[Total_Penjualan]]</f>
        <v>95000</v>
      </c>
      <c r="U110" t="str">
        <f>PROPER(Table1[[#This Row],[Kota]])</f>
        <v>Yogyakarta</v>
      </c>
      <c r="V110" t="str">
        <f>PROPER(Table1[[#This Row],[Metode_Pembayaran]])</f>
        <v>Tunai</v>
      </c>
    </row>
    <row r="111" spans="1:22" x14ac:dyDescent="0.25">
      <c r="A111" s="8" t="s">
        <v>1403</v>
      </c>
      <c r="B111" s="5" t="s">
        <v>409</v>
      </c>
      <c r="C111" s="5" t="s">
        <v>1064</v>
      </c>
      <c r="D111" s="5" t="s">
        <v>895</v>
      </c>
      <c r="E111" s="5" t="s">
        <v>1065</v>
      </c>
      <c r="F111" s="5">
        <v>4</v>
      </c>
      <c r="G111" s="5">
        <v>21000</v>
      </c>
      <c r="H111" s="5">
        <v>84000</v>
      </c>
      <c r="I111" s="5" t="s">
        <v>960</v>
      </c>
      <c r="J111" s="6" t="s">
        <v>884</v>
      </c>
      <c r="M111" s="10">
        <f>DATEVALUE(SUBSTITUTE(SUBSTITUTE(SUBSTITUTE(SUBSTITUTE(SUBSTITUTE(SUBSTITUTE(SUBSTITUTE(SUBSTITUTE(SUBSTITUTE(SUBSTITUTE(SUBSTITUTE(SUBSTITUTE(Table1[[#This Row],[Tanggal]],"Jan", "Jan"),"Feb","Feb"),"Mar","Mar"),"Apr","Apr"),"Mei","May"),"Jun","Jun"),"Jul","Jul"),"Agu","Aug"),"Sep","Sep"),"Okt","Oct"),"Nov","Nov"),"Des","Dec"))</f>
        <v>45971</v>
      </c>
      <c r="N111" t="str">
        <f>Table1[[#This Row],[ID_Transaksi]]</f>
        <v>INV-1110</v>
      </c>
      <c r="O111" s="5" t="str">
        <f>PROPER(TRIM(SUBSTITUTE(Table1[[#This Row],[Nama_Toko]],"""","")))</f>
        <v>Toko Harapan</v>
      </c>
      <c r="P111" s="3" t="str">
        <f>PROPER(TRIM(Table1[[#This Row],[Kategori_Produk]]))</f>
        <v>Makanan</v>
      </c>
      <c r="Q111" t="str">
        <f>PROPER(TRIM(Table1[Nama Produk]))</f>
        <v>Selai Kacang 300G</v>
      </c>
      <c r="R111">
        <f>Table1[[#This Row],[Qty]]</f>
        <v>4</v>
      </c>
      <c r="S111" t="str">
        <f>SUBSTITUTE(SUBSTITUTE(Table1[[#This Row],[Harga_Satuan]],"Rp.",""),".","")</f>
        <v>21000</v>
      </c>
      <c r="T111">
        <f>Table1[[#This Row],[Total_Penjualan]]</f>
        <v>84000</v>
      </c>
      <c r="U111" t="str">
        <f>PROPER(Table1[[#This Row],[Kota]])</f>
        <v>Malang</v>
      </c>
      <c r="V111" t="str">
        <f>PROPER(Table1[[#This Row],[Metode_Pembayaran]])</f>
        <v>Kartu Debit</v>
      </c>
    </row>
    <row r="112" spans="1:22" x14ac:dyDescent="0.25">
      <c r="A112" s="7" t="s">
        <v>1404</v>
      </c>
      <c r="B112" s="3" t="s">
        <v>413</v>
      </c>
      <c r="C112" s="3" t="s">
        <v>1066</v>
      </c>
      <c r="D112" s="3" t="s">
        <v>43</v>
      </c>
      <c r="E112" s="3" t="s">
        <v>415</v>
      </c>
      <c r="F112" s="3">
        <v>5</v>
      </c>
      <c r="G112" s="3">
        <v>65000</v>
      </c>
      <c r="H112" s="3">
        <v>325000</v>
      </c>
      <c r="I112" s="3" t="s">
        <v>883</v>
      </c>
      <c r="J112" s="4" t="s">
        <v>880</v>
      </c>
      <c r="M112" s="10">
        <f>DATEVALUE(SUBSTITUTE(SUBSTITUTE(SUBSTITUTE(SUBSTITUTE(SUBSTITUTE(SUBSTITUTE(SUBSTITUTE(SUBSTITUTE(SUBSTITUTE(SUBSTITUTE(SUBSTITUTE(SUBSTITUTE(Table1[[#This Row],[Tanggal]],"Jan", "Jan"),"Feb","Feb"),"Mar","Mar"),"Apr","Apr"),"Mei","May"),"Jun","Jun"),"Jul","Jul"),"Agu","Aug"),"Sep","Sep"),"Okt","Oct"),"Nov","Nov"),"Des","Dec"))</f>
        <v>45981</v>
      </c>
      <c r="N112" t="str">
        <f>Table1[[#This Row],[ID_Transaksi]]</f>
        <v>TRX-1111</v>
      </c>
      <c r="O112" s="5" t="str">
        <f>PROPER(TRIM(SUBSTITUTE(Table1[[#This Row],[Nama_Toko]],"""","")))</f>
        <v>Pasar Pekan</v>
      </c>
      <c r="P112" s="3" t="str">
        <f>PROPER(TRIM(Table1[[#This Row],[Kategori_Produk]]))</f>
        <v>Pakaian</v>
      </c>
      <c r="Q112" t="str">
        <f>PROPER(TRIM(Table1[Nama Produk]))</f>
        <v>Sarung Tenun Motif</v>
      </c>
      <c r="R112">
        <f>Table1[[#This Row],[Qty]]</f>
        <v>5</v>
      </c>
      <c r="S112" t="str">
        <f>SUBSTITUTE(SUBSTITUTE(Table1[[#This Row],[Harga_Satuan]],"Rp.",""),".","")</f>
        <v>65000</v>
      </c>
      <c r="T112">
        <f>Table1[[#This Row],[Total_Penjualan]]</f>
        <v>325000</v>
      </c>
      <c r="U112" t="str">
        <f>PROPER(Table1[[#This Row],[Kota]])</f>
        <v>Bandung</v>
      </c>
      <c r="V112" t="str">
        <f>PROPER(Table1[[#This Row],[Metode_Pembayaran]])</f>
        <v>Tunai</v>
      </c>
    </row>
    <row r="113" spans="1:22" x14ac:dyDescent="0.25">
      <c r="A113" s="8" t="s">
        <v>1405</v>
      </c>
      <c r="B113" s="5" t="s">
        <v>417</v>
      </c>
      <c r="C113" s="5" t="s">
        <v>1067</v>
      </c>
      <c r="D113" s="5" t="s">
        <v>901</v>
      </c>
      <c r="E113" s="5" t="s">
        <v>419</v>
      </c>
      <c r="F113" s="5">
        <v>2</v>
      </c>
      <c r="G113" s="5">
        <v>110000</v>
      </c>
      <c r="H113" s="5">
        <v>220000</v>
      </c>
      <c r="I113" s="5" t="s">
        <v>919</v>
      </c>
      <c r="J113" s="6" t="s">
        <v>29</v>
      </c>
      <c r="M113" s="10">
        <f>DATEVALUE(SUBSTITUTE(SUBSTITUTE(SUBSTITUTE(SUBSTITUTE(SUBSTITUTE(SUBSTITUTE(SUBSTITUTE(SUBSTITUTE(SUBSTITUTE(SUBSTITUTE(SUBSTITUTE(SUBSTITUTE(Table1[[#This Row],[Tanggal]],"Jan", "Jan"),"Feb","Feb"),"Mar","Mar"),"Apr","Apr"),"Mei","May"),"Jun","Jun"),"Jul","Jul"),"Agu","Aug"),"Sep","Sep"),"Okt","Oct"),"Nov","Nov"),"Des","Dec"))</f>
        <v>45992</v>
      </c>
      <c r="N113" t="str">
        <f>Table1[[#This Row],[ID_Transaksi]]</f>
        <v>INV-1112</v>
      </c>
      <c r="O113" s="5" t="str">
        <f>PROPER(TRIM(SUBSTITUTE(Table1[[#This Row],[Nama_Toko]],"""","")))</f>
        <v>Minimarket Pusat</v>
      </c>
      <c r="P113" s="3" t="str">
        <f>PROPER(TRIM(Table1[[#This Row],[Kategori_Produk]]))</f>
        <v>Mainan</v>
      </c>
      <c r="Q113" t="str">
        <f>PROPER(TRIM(Table1[Nama Produk]))</f>
        <v>Papan Tulis Magnet Anak</v>
      </c>
      <c r="R113">
        <f>Table1[[#This Row],[Qty]]</f>
        <v>2</v>
      </c>
      <c r="S113" t="str">
        <f>SUBSTITUTE(SUBSTITUTE(Table1[[#This Row],[Harga_Satuan]],"Rp.",""),".","")</f>
        <v>110000</v>
      </c>
      <c r="T113">
        <f>Table1[[#This Row],[Total_Penjualan]]</f>
        <v>220000</v>
      </c>
      <c r="U113" t="str">
        <f>PROPER(Table1[[#This Row],[Kota]])</f>
        <v>Semarang</v>
      </c>
      <c r="V113" t="str">
        <f>PROPER(Table1[[#This Row],[Metode_Pembayaran]])</f>
        <v>Kartu Kredit</v>
      </c>
    </row>
    <row r="114" spans="1:22" x14ac:dyDescent="0.25">
      <c r="A114" s="7" t="s">
        <v>1061</v>
      </c>
      <c r="B114" s="3" t="s">
        <v>421</v>
      </c>
      <c r="C114" s="3" t="s">
        <v>1068</v>
      </c>
      <c r="D114" s="3" t="s">
        <v>12</v>
      </c>
      <c r="E114" s="3" t="s">
        <v>423</v>
      </c>
      <c r="F114" s="3">
        <v>10</v>
      </c>
      <c r="G114" s="3">
        <v>15000</v>
      </c>
      <c r="H114" s="3">
        <v>150000</v>
      </c>
      <c r="I114" s="3" t="s">
        <v>965</v>
      </c>
      <c r="J114" s="4" t="s">
        <v>893</v>
      </c>
      <c r="M114" s="10">
        <f>DATEVALUE(SUBSTITUTE(SUBSTITUTE(SUBSTITUTE(SUBSTITUTE(SUBSTITUTE(SUBSTITUTE(SUBSTITUTE(SUBSTITUTE(SUBSTITUTE(SUBSTITUTE(SUBSTITUTE(SUBSTITUTE(Table1[[#This Row],[Tanggal]],"Jan", "Jan"),"Feb","Feb"),"Mar","Mar"),"Apr","Apr"),"Mei","May"),"Jun","Jun"),"Jul","Jul"),"Agu","Aug"),"Sep","Sep"),"Okt","Oct"),"Nov","Nov"),"Des","Dec"))</f>
        <v>46006</v>
      </c>
      <c r="N114" t="str">
        <f>Table1[[#This Row],[ID_Transaksi]]</f>
        <v>TRX-1113</v>
      </c>
      <c r="O114" s="5" t="str">
        <f>PROPER(TRIM(SUBSTITUTE(Table1[[#This Row],[Nama_Toko]],"""","")))</f>
        <v>Toko Kawan</v>
      </c>
      <c r="P114" s="3" t="str">
        <f>PROPER(TRIM(Table1[[#This Row],[Kategori_Produk]]))</f>
        <v>Makanan</v>
      </c>
      <c r="Q114" t="str">
        <f>PROPER(TRIM(Table1[Nama Produk]))</f>
        <v>Sayur Mayur Segar Pack</v>
      </c>
      <c r="R114">
        <f>Table1[[#This Row],[Qty]]</f>
        <v>10</v>
      </c>
      <c r="S114" t="str">
        <f>SUBSTITUTE(SUBSTITUTE(Table1[[#This Row],[Harga_Satuan]],"Rp.",""),".","")</f>
        <v>15000</v>
      </c>
      <c r="T114">
        <f>Table1[[#This Row],[Total_Penjualan]]</f>
        <v>150000</v>
      </c>
      <c r="U114" t="str">
        <f>PROPER(Table1[[#This Row],[Kota]])</f>
        <v>Surabaya</v>
      </c>
      <c r="V114" t="str">
        <f>PROPER(Table1[[#This Row],[Metode_Pembayaran]])</f>
        <v>Tunai</v>
      </c>
    </row>
    <row r="115" spans="1:22" x14ac:dyDescent="0.25">
      <c r="A115" s="8" t="s">
        <v>1406</v>
      </c>
      <c r="B115" s="5" t="s">
        <v>424</v>
      </c>
      <c r="C115" s="5" t="s">
        <v>1069</v>
      </c>
      <c r="D115" s="5" t="s">
        <v>19</v>
      </c>
      <c r="E115" s="5" t="s">
        <v>425</v>
      </c>
      <c r="F115" s="5">
        <v>1</v>
      </c>
      <c r="G115" s="5">
        <v>20000</v>
      </c>
      <c r="H115" s="5">
        <v>20000</v>
      </c>
      <c r="I115" s="5" t="s">
        <v>937</v>
      </c>
      <c r="J115" s="6" t="s">
        <v>884</v>
      </c>
      <c r="M115" s="10">
        <f>DATEVALUE(SUBSTITUTE(SUBSTITUTE(SUBSTITUTE(SUBSTITUTE(SUBSTITUTE(SUBSTITUTE(SUBSTITUTE(SUBSTITUTE(SUBSTITUTE(SUBSTITUTE(SUBSTITUTE(SUBSTITUTE(Table1[[#This Row],[Tanggal]],"Jan", "Jan"),"Feb","Feb"),"Mar","Mar"),"Apr","Apr"),"Mei","May"),"Jun","Jun"),"Jul","Jul"),"Agu","Aug"),"Sep","Sep"),"Okt","Oct"),"Nov","Nov"),"Des","Dec"))</f>
        <v>46016</v>
      </c>
      <c r="N115" t="str">
        <f>Table1[[#This Row],[ID_Transaksi]]</f>
        <v>INV-1114</v>
      </c>
      <c r="O115" s="5" t="str">
        <f>PROPER(TRIM(SUBSTITUTE(Table1[[#This Row],[Nama_Toko]],"""","")))</f>
        <v>Grosir Bersama</v>
      </c>
      <c r="P115" s="3" t="str">
        <f>PROPER(TRIM(Table1[[#This Row],[Kategori_Produk]]))</f>
        <v>Minuman</v>
      </c>
      <c r="Q115" t="str">
        <f>PROPER(TRIM(Table1[Nama Produk]))</f>
        <v>Air Galon Isi Ulang</v>
      </c>
      <c r="R115">
        <f>Table1[[#This Row],[Qty]]</f>
        <v>1</v>
      </c>
      <c r="S115" t="str">
        <f>SUBSTITUTE(SUBSTITUTE(Table1[[#This Row],[Harga_Satuan]],"Rp.",""),".","")</f>
        <v>20000</v>
      </c>
      <c r="T115">
        <f>Table1[[#This Row],[Total_Penjualan]]</f>
        <v>20000</v>
      </c>
      <c r="U115" t="str">
        <f>PROPER(Table1[[#This Row],[Kota]])</f>
        <v>Depok</v>
      </c>
      <c r="V115" t="str">
        <f>PROPER(Table1[[#This Row],[Metode_Pembayaran]])</f>
        <v>Kartu Debit</v>
      </c>
    </row>
    <row r="116" spans="1:22" x14ac:dyDescent="0.25">
      <c r="A116" s="7" t="s">
        <v>1407</v>
      </c>
      <c r="B116" s="3" t="s">
        <v>426</v>
      </c>
      <c r="C116" s="3" t="s">
        <v>1070</v>
      </c>
      <c r="D116" s="3" t="s">
        <v>886</v>
      </c>
      <c r="E116" s="3" t="s">
        <v>428</v>
      </c>
      <c r="F116" s="3">
        <v>1</v>
      </c>
      <c r="G116" s="3">
        <v>50000</v>
      </c>
      <c r="H116" s="3">
        <v>50000</v>
      </c>
      <c r="I116" s="3" t="s">
        <v>968</v>
      </c>
      <c r="J116" s="4" t="s">
        <v>888</v>
      </c>
      <c r="M116" s="10">
        <f>DATEVALUE(SUBSTITUTE(SUBSTITUTE(SUBSTITUTE(SUBSTITUTE(SUBSTITUTE(SUBSTITUTE(SUBSTITUTE(SUBSTITUTE(SUBSTITUTE(SUBSTITUTE(SUBSTITUTE(SUBSTITUTE(Table1[[#This Row],[Tanggal]],"Jan", "Jan"),"Feb","Feb"),"Mar","Mar"),"Apr","Apr"),"Mei","May"),"Jun","Jun"),"Jul","Jul"),"Agu","Aug"),"Sep","Sep"),"Okt","Oct"),"Nov","Nov"),"Des","Dec"))</f>
        <v>46027</v>
      </c>
      <c r="N116" t="str">
        <f>Table1[[#This Row],[ID_Transaksi]]</f>
        <v>TRX-1115</v>
      </c>
      <c r="O116" s="5" t="str">
        <f>PROPER(TRIM(SUBSTITUTE(Table1[[#This Row],[Nama_Toko]],"""","")))</f>
        <v>Warung Cepat</v>
      </c>
      <c r="P116" s="3" t="str">
        <f>PROPER(TRIM(Table1[[#This Row],[Kategori_Produk]]))</f>
        <v>Elektronik</v>
      </c>
      <c r="Q116" t="str">
        <f>PROPER(TRIM(Table1[Nama Produk]))</f>
        <v>Alarm Anti Maling Jendela</v>
      </c>
      <c r="R116">
        <f>Table1[[#This Row],[Qty]]</f>
        <v>1</v>
      </c>
      <c r="S116" t="str">
        <f>SUBSTITUTE(SUBSTITUTE(Table1[[#This Row],[Harga_Satuan]],"Rp.",""),".","")</f>
        <v>50000</v>
      </c>
      <c r="T116">
        <f>Table1[[#This Row],[Total_Penjualan]]</f>
        <v>50000</v>
      </c>
      <c r="U116" t="str">
        <f>PROPER(Table1[[#This Row],[Kota]])</f>
        <v>Jakarta Selatan</v>
      </c>
      <c r="V116" t="str">
        <f>PROPER(Table1[[#This Row],[Metode_Pembayaran]])</f>
        <v>Kartu Kredit</v>
      </c>
    </row>
    <row r="117" spans="1:22" x14ac:dyDescent="0.25">
      <c r="A117" s="8" t="s">
        <v>1408</v>
      </c>
      <c r="B117" s="5" t="s">
        <v>429</v>
      </c>
      <c r="C117" s="5" t="s">
        <v>1071</v>
      </c>
      <c r="D117" s="5" t="s">
        <v>890</v>
      </c>
      <c r="E117" s="5" t="s">
        <v>430</v>
      </c>
      <c r="F117" s="5">
        <v>15</v>
      </c>
      <c r="G117" s="5">
        <v>8000</v>
      </c>
      <c r="H117" s="5">
        <v>120000</v>
      </c>
      <c r="I117" s="5" t="s">
        <v>915</v>
      </c>
      <c r="J117" s="6" t="s">
        <v>893</v>
      </c>
      <c r="M117" s="10">
        <f>DATEVALUE(SUBSTITUTE(SUBSTITUTE(SUBSTITUTE(SUBSTITUTE(SUBSTITUTE(SUBSTITUTE(SUBSTITUTE(SUBSTITUTE(SUBSTITUTE(SUBSTITUTE(SUBSTITUTE(SUBSTITUTE(Table1[[#This Row],[Tanggal]],"Jan", "Jan"),"Feb","Feb"),"Mar","Mar"),"Apr","Apr"),"Mei","May"),"Jun","Jun"),"Jul","Jul"),"Agu","Aug"),"Sep","Sep"),"Okt","Oct"),"Nov","Nov"),"Des","Dec"))</f>
        <v>46037</v>
      </c>
      <c r="N117" t="str">
        <f>Table1[[#This Row],[ID_Transaksi]]</f>
        <v>INV-1116</v>
      </c>
      <c r="O117" s="5" t="str">
        <f>PROPER(TRIM(SUBSTITUTE(Table1[[#This Row],[Nama_Toko]],"""","")))</f>
        <v>Gudang Utara</v>
      </c>
      <c r="P117" s="3" t="str">
        <f>PROPER(TRIM(Table1[[#This Row],[Kategori_Produk]]))</f>
        <v>Kecantikan</v>
      </c>
      <c r="Q117" t="str">
        <f>PROPER(TRIM(Table1[Nama Produk]))</f>
        <v>Sabun Pembersih Tangan</v>
      </c>
      <c r="R117">
        <f>Table1[[#This Row],[Qty]]</f>
        <v>15</v>
      </c>
      <c r="S117" t="str">
        <f>SUBSTITUTE(SUBSTITUTE(Table1[[#This Row],[Harga_Satuan]],"Rp.",""),".","")</f>
        <v>8000</v>
      </c>
      <c r="T117">
        <f>Table1[[#This Row],[Total_Penjualan]]</f>
        <v>120000</v>
      </c>
      <c r="U117" t="str">
        <f>PROPER(Table1[[#This Row],[Kota]])</f>
        <v>Medan</v>
      </c>
      <c r="V117" t="str">
        <f>PROPER(Table1[[#This Row],[Metode_Pembayaran]])</f>
        <v>Tunai</v>
      </c>
    </row>
    <row r="118" spans="1:22" x14ac:dyDescent="0.25">
      <c r="A118" s="7" t="s">
        <v>1409</v>
      </c>
      <c r="B118" s="3" t="s">
        <v>431</v>
      </c>
      <c r="C118" s="3" t="s">
        <v>1072</v>
      </c>
      <c r="D118" s="3" t="s">
        <v>895</v>
      </c>
      <c r="E118" s="3" t="s">
        <v>1073</v>
      </c>
      <c r="F118" s="3">
        <v>6</v>
      </c>
      <c r="G118" s="3">
        <v>24000</v>
      </c>
      <c r="H118" s="3">
        <v>144000</v>
      </c>
      <c r="I118" s="3" t="s">
        <v>913</v>
      </c>
      <c r="J118" s="4" t="s">
        <v>884</v>
      </c>
      <c r="M118" s="10">
        <f>DATEVALUE(SUBSTITUTE(SUBSTITUTE(SUBSTITUTE(SUBSTITUTE(SUBSTITUTE(SUBSTITUTE(SUBSTITUTE(SUBSTITUTE(SUBSTITUTE(SUBSTITUTE(SUBSTITUTE(SUBSTITUTE(Table1[[#This Row],[Tanggal]],"Jan", "Jan"),"Feb","Feb"),"Mar","Mar"),"Apr","Apr"),"Mei","May"),"Jun","Jun"),"Jul","Jul"),"Agu","Aug"),"Sep","Sep"),"Okt","Oct"),"Nov","Nov"),"Des","Dec"))</f>
        <v>46047</v>
      </c>
      <c r="N118" t="str">
        <f>Table1[[#This Row],[ID_Transaksi]]</f>
        <v>TRX-1117</v>
      </c>
      <c r="O118" s="5" t="str">
        <f>PROPER(TRIM(SUBSTITUTE(Table1[[#This Row],[Nama_Toko]],"""","")))</f>
        <v>Toko Adil</v>
      </c>
      <c r="P118" s="3" t="str">
        <f>PROPER(TRIM(Table1[[#This Row],[Kategori_Produk]]))</f>
        <v>Makanan</v>
      </c>
      <c r="Q118" t="str">
        <f>PROPER(TRIM(Table1[Nama Produk]))</f>
        <v>Bahan Kue Pack</v>
      </c>
      <c r="R118">
        <f>Table1[[#This Row],[Qty]]</f>
        <v>6</v>
      </c>
      <c r="S118" t="str">
        <f>SUBSTITUTE(SUBSTITUTE(Table1[[#This Row],[Harga_Satuan]],"Rp.",""),".","")</f>
        <v>24000</v>
      </c>
      <c r="T118">
        <f>Table1[[#This Row],[Total_Penjualan]]</f>
        <v>144000</v>
      </c>
      <c r="U118" t="str">
        <f>PROPER(Table1[[#This Row],[Kota]])</f>
        <v>Yogyakarta</v>
      </c>
      <c r="V118" t="str">
        <f>PROPER(Table1[[#This Row],[Metode_Pembayaran]])</f>
        <v>Kartu Debit</v>
      </c>
    </row>
    <row r="119" spans="1:22" x14ac:dyDescent="0.25">
      <c r="A119" s="8" t="s">
        <v>1410</v>
      </c>
      <c r="B119" s="5" t="s">
        <v>435</v>
      </c>
      <c r="C119" s="5" t="s">
        <v>1074</v>
      </c>
      <c r="D119" s="5" t="s">
        <v>43</v>
      </c>
      <c r="E119" s="5" t="s">
        <v>437</v>
      </c>
      <c r="F119" s="5">
        <v>2</v>
      </c>
      <c r="G119" s="5">
        <v>180000</v>
      </c>
      <c r="H119" s="5">
        <v>360000</v>
      </c>
      <c r="I119" s="5" t="s">
        <v>960</v>
      </c>
      <c r="J119" s="6" t="s">
        <v>880</v>
      </c>
      <c r="M119" s="10">
        <f>DATEVALUE(SUBSTITUTE(SUBSTITUTE(SUBSTITUTE(SUBSTITUTE(SUBSTITUTE(SUBSTITUTE(SUBSTITUTE(SUBSTITUTE(SUBSTITUTE(SUBSTITUTE(SUBSTITUTE(SUBSTITUTE(Table1[[#This Row],[Tanggal]],"Jan", "Jan"),"Feb","Feb"),"Mar","Mar"),"Apr","Apr"),"Mei","May"),"Jun","Jun"),"Jul","Jul"),"Agu","Aug"),"Sep","Sep"),"Okt","Oct"),"Nov","Nov"),"Des","Dec"))</f>
        <v>46054</v>
      </c>
      <c r="N119" t="str">
        <f>Table1[[#This Row],[ID_Transaksi]]</f>
        <v>INV-1118</v>
      </c>
      <c r="O119" s="5" t="str">
        <f>PROPER(TRIM(SUBSTITUTE(Table1[[#This Row],[Nama_Toko]],"""","")))</f>
        <v>Pasar Senin</v>
      </c>
      <c r="P119" s="3" t="str">
        <f>PROPER(TRIM(Table1[[#This Row],[Kategori_Produk]]))</f>
        <v>Pakaian</v>
      </c>
      <c r="Q119" t="str">
        <f>PROPER(TRIM(Table1[Nama Produk]))</f>
        <v>Kain Batik Cap Meteran</v>
      </c>
      <c r="R119">
        <f>Table1[[#This Row],[Qty]]</f>
        <v>2</v>
      </c>
      <c r="S119" t="str">
        <f>SUBSTITUTE(SUBSTITUTE(Table1[[#This Row],[Harga_Satuan]],"Rp.",""),".","")</f>
        <v>180000</v>
      </c>
      <c r="T119">
        <f>Table1[[#This Row],[Total_Penjualan]]</f>
        <v>360000</v>
      </c>
      <c r="U119" t="str">
        <f>PROPER(Table1[[#This Row],[Kota]])</f>
        <v>Malang</v>
      </c>
      <c r="V119" t="str">
        <f>PROPER(Table1[[#This Row],[Metode_Pembayaran]])</f>
        <v>Tunai</v>
      </c>
    </row>
    <row r="120" spans="1:22" x14ac:dyDescent="0.25">
      <c r="A120" s="7" t="s">
        <v>1411</v>
      </c>
      <c r="B120" s="3" t="s">
        <v>438</v>
      </c>
      <c r="C120" s="3" t="s">
        <v>1075</v>
      </c>
      <c r="D120" s="3" t="s">
        <v>901</v>
      </c>
      <c r="E120" s="3" t="s">
        <v>439</v>
      </c>
      <c r="F120" s="3">
        <v>1</v>
      </c>
      <c r="G120" s="3">
        <v>450000</v>
      </c>
      <c r="H120" s="3">
        <v>450000</v>
      </c>
      <c r="I120" s="3" t="s">
        <v>21</v>
      </c>
      <c r="J120" s="4" t="s">
        <v>29</v>
      </c>
      <c r="M120" s="10">
        <f>DATEVALUE(SUBSTITUTE(SUBSTITUTE(SUBSTITUTE(SUBSTITUTE(SUBSTITUTE(SUBSTITUTE(SUBSTITUTE(SUBSTITUTE(SUBSTITUTE(SUBSTITUTE(SUBSTITUTE(SUBSTITUTE(Table1[[#This Row],[Tanggal]],"Jan", "Jan"),"Feb","Feb"),"Mar","Mar"),"Apr","Apr"),"Mei","May"),"Jun","Jun"),"Jul","Jul"),"Agu","Aug"),"Sep","Sep"),"Okt","Oct"),"Nov","Nov"),"Des","Dec"))</f>
        <v>46063</v>
      </c>
      <c r="N120" t="str">
        <f>Table1[[#This Row],[ID_Transaksi]]</f>
        <v>TRX-1119</v>
      </c>
      <c r="O120" s="5" t="str">
        <f>PROPER(TRIM(SUBSTITUTE(Table1[[#This Row],[Nama_Toko]],"""","")))</f>
        <v>Minimarket Jaya</v>
      </c>
      <c r="P120" s="3" t="str">
        <f>PROPER(TRIM(Table1[[#This Row],[Kategori_Produk]]))</f>
        <v>Mainan</v>
      </c>
      <c r="Q120" t="str">
        <f>PROPER(TRIM(Table1[Nama Produk]))</f>
        <v>Sepeda Roda Empat Anak</v>
      </c>
      <c r="R120">
        <f>Table1[[#This Row],[Qty]]</f>
        <v>1</v>
      </c>
      <c r="S120" t="str">
        <f>SUBSTITUTE(SUBSTITUTE(Table1[[#This Row],[Harga_Satuan]],"Rp.",""),".","")</f>
        <v>450000</v>
      </c>
      <c r="T120">
        <f>Table1[[#This Row],[Total_Penjualan]]</f>
        <v>450000</v>
      </c>
      <c r="U120" t="str">
        <f>PROPER(Table1[[#This Row],[Kota]])</f>
        <v>Bandung</v>
      </c>
      <c r="V120" t="str">
        <f>PROPER(Table1[[#This Row],[Metode_Pembayaran]])</f>
        <v>Kartu Kredit</v>
      </c>
    </row>
    <row r="121" spans="1:22" x14ac:dyDescent="0.25">
      <c r="A121" s="8" t="s">
        <v>1412</v>
      </c>
      <c r="B121" s="5" t="s">
        <v>441</v>
      </c>
      <c r="C121" s="5" t="s">
        <v>1076</v>
      </c>
      <c r="D121" s="5" t="s">
        <v>12</v>
      </c>
      <c r="E121" s="5" t="s">
        <v>443</v>
      </c>
      <c r="F121" s="5">
        <v>5</v>
      </c>
      <c r="G121" s="5">
        <v>19000</v>
      </c>
      <c r="H121" s="5">
        <v>95000</v>
      </c>
      <c r="I121" s="5" t="s">
        <v>932</v>
      </c>
      <c r="J121" s="6" t="s">
        <v>893</v>
      </c>
      <c r="M121" s="10">
        <f>DATEVALUE(SUBSTITUTE(SUBSTITUTE(SUBSTITUTE(SUBSTITUTE(SUBSTITUTE(SUBSTITUTE(SUBSTITUTE(SUBSTITUTE(SUBSTITUTE(SUBSTITUTE(SUBSTITUTE(SUBSTITUTE(Table1[[#This Row],[Tanggal]],"Jan", "Jan"),"Feb","Feb"),"Mar","Mar"),"Apr","Apr"),"Mei","May"),"Jun","Jun"),"Jul","Jul"),"Agu","Aug"),"Sep","Sep"),"Okt","Oct"),"Nov","Nov"),"Des","Dec"))</f>
        <v>46073</v>
      </c>
      <c r="N121" t="str">
        <f>Table1[[#This Row],[ID_Transaksi]]</f>
        <v>INV-1120</v>
      </c>
      <c r="O121" s="5" t="str">
        <f>PROPER(TRIM(SUBSTITUTE(Table1[[#This Row],[Nama_Toko]],"""","")))</f>
        <v>Toko Setia</v>
      </c>
      <c r="P121" s="3" t="str">
        <f>PROPER(TRIM(Table1[[#This Row],[Kategori_Produk]]))</f>
        <v>Makanan</v>
      </c>
      <c r="Q121" t="str">
        <f>PROPER(TRIM(Table1[Nama Produk]))</f>
        <v>Sarden Kaleng Pedas</v>
      </c>
      <c r="R121">
        <f>Table1[[#This Row],[Qty]]</f>
        <v>5</v>
      </c>
      <c r="S121" t="str">
        <f>SUBSTITUTE(SUBSTITUTE(Table1[[#This Row],[Harga_Satuan]],"Rp.",""),".","")</f>
        <v>19000</v>
      </c>
      <c r="T121">
        <f>Table1[[#This Row],[Total_Penjualan]]</f>
        <v>95000</v>
      </c>
      <c r="U121" t="str">
        <f>PROPER(Table1[[#This Row],[Kota]])</f>
        <v>Semarang</v>
      </c>
      <c r="V121" t="str">
        <f>PROPER(Table1[[#This Row],[Metode_Pembayaran]])</f>
        <v>Tunai</v>
      </c>
    </row>
    <row r="122" spans="1:22" x14ac:dyDescent="0.25">
      <c r="A122" s="7" t="s">
        <v>1413</v>
      </c>
      <c r="B122" s="3" t="s">
        <v>444</v>
      </c>
      <c r="C122" s="3" t="s">
        <v>1077</v>
      </c>
      <c r="D122" s="3" t="s">
        <v>19</v>
      </c>
      <c r="E122" s="3" t="s">
        <v>445</v>
      </c>
      <c r="F122" s="3">
        <v>8</v>
      </c>
      <c r="G122" s="3">
        <v>15000</v>
      </c>
      <c r="H122" s="3">
        <v>120000</v>
      </c>
      <c r="I122" s="3" t="s">
        <v>951</v>
      </c>
      <c r="J122" s="4" t="s">
        <v>884</v>
      </c>
      <c r="M122" s="10">
        <f>DATEVALUE(SUBSTITUTE(SUBSTITUTE(SUBSTITUTE(SUBSTITUTE(SUBSTITUTE(SUBSTITUTE(SUBSTITUTE(SUBSTITUTE(SUBSTITUTE(SUBSTITUTE(SUBSTITUTE(SUBSTITUTE(Table1[[#This Row],[Tanggal]],"Jan", "Jan"),"Feb","Feb"),"Mar","Mar"),"Apr","Apr"),"Mei","May"),"Jun","Jun"),"Jul","Jul"),"Agu","Aug"),"Sep","Sep"),"Okt","Oct"),"Nov","Nov"),"Des","Dec"))</f>
        <v>46082</v>
      </c>
      <c r="N122" t="str">
        <f>Table1[[#This Row],[ID_Transaksi]]</f>
        <v>TRX-1121</v>
      </c>
      <c r="O122" s="5" t="str">
        <f>PROPER(TRIM(SUBSTITUTE(Table1[[#This Row],[Nama_Toko]],"""","")))</f>
        <v>Grosir Hemat Banget</v>
      </c>
      <c r="P122" s="3" t="str">
        <f>PROPER(TRIM(Table1[[#This Row],[Kategori_Produk]]))</f>
        <v>Minuman</v>
      </c>
      <c r="Q122" t="str">
        <f>PROPER(TRIM(Table1[Nama Produk]))</f>
        <v>Wedang Jahe Instan Sachet</v>
      </c>
      <c r="R122">
        <f>Table1[[#This Row],[Qty]]</f>
        <v>8</v>
      </c>
      <c r="S122" t="str">
        <f>SUBSTITUTE(SUBSTITUTE(Table1[[#This Row],[Harga_Satuan]],"Rp.",""),".","")</f>
        <v>15000</v>
      </c>
      <c r="T122">
        <f>Table1[[#This Row],[Total_Penjualan]]</f>
        <v>120000</v>
      </c>
      <c r="U122" t="str">
        <f>PROPER(Table1[[#This Row],[Kota]])</f>
        <v>Surabaya</v>
      </c>
      <c r="V122" t="str">
        <f>PROPER(Table1[[#This Row],[Metode_Pembayaran]])</f>
        <v>Kartu Debit</v>
      </c>
    </row>
    <row r="123" spans="1:22" x14ac:dyDescent="0.25">
      <c r="A123" s="8" t="s">
        <v>1414</v>
      </c>
      <c r="B123" s="5" t="s">
        <v>447</v>
      </c>
      <c r="C123" s="5" t="s">
        <v>1078</v>
      </c>
      <c r="D123" s="5" t="s">
        <v>886</v>
      </c>
      <c r="E123" s="5" t="s">
        <v>1079</v>
      </c>
      <c r="F123" s="5">
        <v>1</v>
      </c>
      <c r="G123" s="5">
        <v>100000</v>
      </c>
      <c r="H123" s="5">
        <v>100000</v>
      </c>
      <c r="I123" s="5" t="s">
        <v>923</v>
      </c>
      <c r="J123" s="6" t="s">
        <v>888</v>
      </c>
      <c r="M123" s="10">
        <f>DATEVALUE(SUBSTITUTE(SUBSTITUTE(SUBSTITUTE(SUBSTITUTE(SUBSTITUTE(SUBSTITUTE(SUBSTITUTE(SUBSTITUTE(SUBSTITUTE(SUBSTITUTE(SUBSTITUTE(SUBSTITUTE(Table1[[#This Row],[Tanggal]],"Jan", "Jan"),"Feb","Feb"),"Mar","Mar"),"Apr","Apr"),"Mei","May"),"Jun","Jun"),"Jul","Jul"),"Agu","Aug"),"Sep","Sep"),"Okt","Oct"),"Nov","Nov"),"Des","Dec"))</f>
        <v>46096</v>
      </c>
      <c r="N123" t="str">
        <f>Table1[[#This Row],[ID_Transaksi]]</f>
        <v>INV-1122</v>
      </c>
      <c r="O123" s="5" t="str">
        <f>PROPER(TRIM(SUBSTITUTE(Table1[[#This Row],[Nama_Toko]],"""","")))</f>
        <v>Warung Cinta</v>
      </c>
      <c r="P123" s="3" t="str">
        <f>PROPER(TRIM(Table1[[#This Row],[Kategori_Produk]]))</f>
        <v>Elektronik</v>
      </c>
      <c r="Q123" t="str">
        <f>PROPER(TRIM(Table1[Nama Produk]))</f>
        <v>Vacuum Cleaner Mini Usb</v>
      </c>
      <c r="R123">
        <f>Table1[[#This Row],[Qty]]</f>
        <v>1</v>
      </c>
      <c r="S123" t="str">
        <f>SUBSTITUTE(SUBSTITUTE(Table1[[#This Row],[Harga_Satuan]],"Rp.",""),".","")</f>
        <v>100000</v>
      </c>
      <c r="T123">
        <f>Table1[[#This Row],[Total_Penjualan]]</f>
        <v>100000</v>
      </c>
      <c r="U123" t="str">
        <f>PROPER(Table1[[#This Row],[Kota]])</f>
        <v>Denpasar</v>
      </c>
      <c r="V123" t="str">
        <f>PROPER(Table1[[#This Row],[Metode_Pembayaran]])</f>
        <v>Kartu Kredit</v>
      </c>
    </row>
    <row r="124" spans="1:22" x14ac:dyDescent="0.25">
      <c r="A124" s="7" t="s">
        <v>1415</v>
      </c>
      <c r="B124" s="3" t="s">
        <v>451</v>
      </c>
      <c r="C124" s="3" t="s">
        <v>1080</v>
      </c>
      <c r="D124" s="3" t="s">
        <v>890</v>
      </c>
      <c r="E124" s="3" t="s">
        <v>1081</v>
      </c>
      <c r="F124" s="3">
        <v>2</v>
      </c>
      <c r="G124" s="3">
        <v>70000</v>
      </c>
      <c r="H124" s="3">
        <v>140000</v>
      </c>
      <c r="I124" s="3" t="s">
        <v>978</v>
      </c>
      <c r="J124" s="4" t="s">
        <v>893</v>
      </c>
      <c r="M124" s="10">
        <f>DATEVALUE(SUBSTITUTE(SUBSTITUTE(SUBSTITUTE(SUBSTITUTE(SUBSTITUTE(SUBSTITUTE(SUBSTITUTE(SUBSTITUTE(SUBSTITUTE(SUBSTITUTE(SUBSTITUTE(SUBSTITUTE(Table1[[#This Row],[Tanggal]],"Jan", "Jan"),"Feb","Feb"),"Mar","Mar"),"Apr","Apr"),"Mei","May"),"Jun","Jun"),"Jul","Jul"),"Agu","Aug"),"Sep","Sep"),"Okt","Oct"),"Nov","Nov"),"Des","Dec"))</f>
        <v>46106</v>
      </c>
      <c r="N124" t="str">
        <f>Table1[[#This Row],[ID_Transaksi]]</f>
        <v>TRX-1123</v>
      </c>
      <c r="O124" s="5" t="str">
        <f>PROPER(TRIM(SUBSTITUTE(Table1[[#This Row],[Nama_Toko]],"""","")))</f>
        <v>Gudang Selatan</v>
      </c>
      <c r="P124" s="3" t="str">
        <f>PROPER(TRIM(Table1[[#This Row],[Kategori_Produk]]))</f>
        <v>Kecantikan</v>
      </c>
      <c r="Q124" t="str">
        <f>PROPER(TRIM(Table1[Nama Produk]))</f>
        <v>Sampo Kuda 500Ml</v>
      </c>
      <c r="R124">
        <f>Table1[[#This Row],[Qty]]</f>
        <v>2</v>
      </c>
      <c r="S124" t="str">
        <f>SUBSTITUTE(SUBSTITUTE(Table1[[#This Row],[Harga_Satuan]],"Rp.",""),".","")</f>
        <v>70000</v>
      </c>
      <c r="T124">
        <f>Table1[[#This Row],[Total_Penjualan]]</f>
        <v>140000</v>
      </c>
      <c r="U124" t="str">
        <f>PROPER(Table1[[#This Row],[Kota]])</f>
        <v>Jakarta</v>
      </c>
      <c r="V124" t="str">
        <f>PROPER(Table1[[#This Row],[Metode_Pembayaran]])</f>
        <v>Tunai</v>
      </c>
    </row>
    <row r="125" spans="1:22" x14ac:dyDescent="0.25">
      <c r="A125" s="8" t="s">
        <v>1416</v>
      </c>
      <c r="B125" s="3" t="s">
        <v>453</v>
      </c>
      <c r="C125" s="5" t="s">
        <v>1083</v>
      </c>
      <c r="D125" s="5" t="s">
        <v>895</v>
      </c>
      <c r="E125" s="5" t="s">
        <v>1084</v>
      </c>
      <c r="F125" s="5">
        <v>3</v>
      </c>
      <c r="G125" s="5">
        <v>25000</v>
      </c>
      <c r="H125" s="5">
        <v>75000</v>
      </c>
      <c r="I125" s="5" t="s">
        <v>899</v>
      </c>
      <c r="J125" s="6" t="s">
        <v>884</v>
      </c>
      <c r="M125" s="10">
        <f>DATEVALUE(SUBSTITUTE(SUBSTITUTE(SUBSTITUTE(SUBSTITUTE(SUBSTITUTE(SUBSTITUTE(SUBSTITUTE(SUBSTITUTE(SUBSTITUTE(SUBSTITUTE(SUBSTITUTE(SUBSTITUTE(Table1[[#This Row],[Tanggal]],"Jan", "Jan"),"Feb","Feb"),"Mar","Mar"),"Apr","Apr"),"Mei","May"),"Jun","Jun"),"Jul","Jul"),"Agu","Aug"),"Sep","Sep"),"Okt","Oct"),"Nov","Nov"),"Des","Dec"))</f>
        <v>46117</v>
      </c>
      <c r="N125" t="str">
        <f>Table1[[#This Row],[ID_Transaksi]]</f>
        <v>TRX-1124</v>
      </c>
      <c r="O125" s="5" t="str">
        <f>PROPER(TRIM(SUBSTITUTE(Table1[[#This Row],[Nama_Toko]],"""","")))</f>
        <v>Toko Cipta</v>
      </c>
      <c r="P125" s="3" t="str">
        <f>PROPER(TRIM(Table1[[#This Row],[Kategori_Produk]]))</f>
        <v>Makanan</v>
      </c>
      <c r="Q125" t="str">
        <f>PROPER(TRIM(Table1[Nama Produk]))</f>
        <v>Roti Gandum Utuh</v>
      </c>
      <c r="R125">
        <f>Table1[[#This Row],[Qty]]</f>
        <v>3</v>
      </c>
      <c r="S125" t="str">
        <f>SUBSTITUTE(SUBSTITUTE(Table1[[#This Row],[Harga_Satuan]],"Rp.",""),".","")</f>
        <v>25000</v>
      </c>
      <c r="T125">
        <f>Table1[[#This Row],[Total_Penjualan]]</f>
        <v>75000</v>
      </c>
      <c r="U125" t="str">
        <f>PROPER(Table1[[#This Row],[Kota]])</f>
        <v>Medan</v>
      </c>
      <c r="V125" t="str">
        <f>PROPER(Table1[[#This Row],[Metode_Pembayaran]])</f>
        <v>Kartu Debit</v>
      </c>
    </row>
    <row r="126" spans="1:22" x14ac:dyDescent="0.25">
      <c r="A126" s="7" t="s">
        <v>1417</v>
      </c>
      <c r="B126" s="3" t="s">
        <v>457</v>
      </c>
      <c r="C126" s="3" t="s">
        <v>1085</v>
      </c>
      <c r="D126" s="3" t="s">
        <v>43</v>
      </c>
      <c r="E126" s="3" t="s">
        <v>459</v>
      </c>
      <c r="F126" s="3">
        <v>4</v>
      </c>
      <c r="G126" s="3">
        <v>85000</v>
      </c>
      <c r="H126" s="3">
        <v>340000</v>
      </c>
      <c r="I126" s="3" t="s">
        <v>913</v>
      </c>
      <c r="J126" s="4" t="s">
        <v>880</v>
      </c>
      <c r="M126" s="10">
        <f>DATEVALUE(SUBSTITUTE(SUBSTITUTE(SUBSTITUTE(SUBSTITUTE(SUBSTITUTE(SUBSTITUTE(SUBSTITUTE(SUBSTITUTE(SUBSTITUTE(SUBSTITUTE(SUBSTITUTE(SUBSTITUTE(Table1[[#This Row],[Tanggal]],"Jan", "Jan"),"Feb","Feb"),"Mar","Mar"),"Apr","Apr"),"Mei","May"),"Jun","Jun"),"Jul","Jul"),"Agu","Aug"),"Sep","Sep"),"Okt","Oct"),"Nov","Nov"),"Des","Dec"))</f>
        <v>46127</v>
      </c>
      <c r="N126" t="str">
        <f>Table1[[#This Row],[ID_Transaksi]]</f>
        <v>INV-1125</v>
      </c>
      <c r="O126" s="5" t="str">
        <f>PROPER(TRIM(SUBSTITUTE(Table1[[#This Row],[Nama_Toko]],"""","")))</f>
        <v>Pasar Baru</v>
      </c>
      <c r="P126" s="3" t="str">
        <f>PROPER(TRIM(Table1[[#This Row],[Kategori_Produk]]))</f>
        <v>Pakaian</v>
      </c>
      <c r="Q126" t="str">
        <f>PROPER(TRIM(Table1[Nama Produk]))</f>
        <v>Piyama Katun Dewasa</v>
      </c>
      <c r="R126">
        <f>Table1[[#This Row],[Qty]]</f>
        <v>4</v>
      </c>
      <c r="S126" t="str">
        <f>SUBSTITUTE(SUBSTITUTE(Table1[[#This Row],[Harga_Satuan]],"Rp.",""),".","")</f>
        <v>85000</v>
      </c>
      <c r="T126">
        <f>Table1[[#This Row],[Total_Penjualan]]</f>
        <v>340000</v>
      </c>
      <c r="U126" t="str">
        <f>PROPER(Table1[[#This Row],[Kota]])</f>
        <v>Yogyakarta</v>
      </c>
      <c r="V126" t="str">
        <f>PROPER(Table1[[#This Row],[Metode_Pembayaran]])</f>
        <v>Tunai</v>
      </c>
    </row>
    <row r="127" spans="1:22" x14ac:dyDescent="0.25">
      <c r="A127" s="8" t="s">
        <v>1418</v>
      </c>
      <c r="B127" s="5" t="s">
        <v>460</v>
      </c>
      <c r="C127" s="5" t="s">
        <v>1086</v>
      </c>
      <c r="D127" s="5" t="s">
        <v>901</v>
      </c>
      <c r="E127" s="5" t="s">
        <v>461</v>
      </c>
      <c r="F127" s="5">
        <v>10</v>
      </c>
      <c r="G127" s="5">
        <v>25000</v>
      </c>
      <c r="H127" s="5">
        <v>250000</v>
      </c>
      <c r="I127" s="5" t="s">
        <v>960</v>
      </c>
      <c r="J127" s="6" t="s">
        <v>29</v>
      </c>
      <c r="M127" s="10">
        <f>DATEVALUE(SUBSTITUTE(SUBSTITUTE(SUBSTITUTE(SUBSTITUTE(SUBSTITUTE(SUBSTITUTE(SUBSTITUTE(SUBSTITUTE(SUBSTITUTE(SUBSTITUTE(SUBSTITUTE(SUBSTITUTE(Table1[[#This Row],[Tanggal]],"Jan", "Jan"),"Feb","Feb"),"Mar","Mar"),"Apr","Apr"),"Mei","May"),"Jun","Jun"),"Jul","Jul"),"Agu","Aug"),"Sep","Sep"),"Okt","Oct"),"Nov","Nov"),"Des","Dec"))</f>
        <v>46137</v>
      </c>
      <c r="N127" t="str">
        <f>Table1[[#This Row],[ID_Transaksi]]</f>
        <v>TRX-1126</v>
      </c>
      <c r="O127" s="5" t="str">
        <f>PROPER(TRIM(SUBSTITUTE(Table1[[#This Row],[Nama_Toko]],"""","")))</f>
        <v>Minimarket Berkah</v>
      </c>
      <c r="P127" s="3" t="str">
        <f>PROPER(TRIM(Table1[[#This Row],[Kategori_Produk]]))</f>
        <v>Mainan</v>
      </c>
      <c r="Q127" t="str">
        <f>PROPER(TRIM(Table1[Nama Produk]))</f>
        <v>Play Dough Set Komplit</v>
      </c>
      <c r="R127">
        <f>Table1[[#This Row],[Qty]]</f>
        <v>10</v>
      </c>
      <c r="S127" t="str">
        <f>SUBSTITUTE(SUBSTITUTE(Table1[[#This Row],[Harga_Satuan]],"Rp.",""),".","")</f>
        <v>25000</v>
      </c>
      <c r="T127">
        <f>Table1[[#This Row],[Total_Penjualan]]</f>
        <v>250000</v>
      </c>
      <c r="U127" t="str">
        <f>PROPER(Table1[[#This Row],[Kota]])</f>
        <v>Malang</v>
      </c>
      <c r="V127" t="str">
        <f>PROPER(Table1[[#This Row],[Metode_Pembayaran]])</f>
        <v>Kartu Kredit</v>
      </c>
    </row>
    <row r="128" spans="1:22" x14ac:dyDescent="0.25">
      <c r="A128" s="7" t="s">
        <v>1419</v>
      </c>
      <c r="B128" s="3" t="s">
        <v>462</v>
      </c>
      <c r="C128" s="3" t="s">
        <v>982</v>
      </c>
      <c r="D128" s="3" t="s">
        <v>12</v>
      </c>
      <c r="E128" s="3" t="s">
        <v>463</v>
      </c>
      <c r="F128" s="3">
        <v>1</v>
      </c>
      <c r="G128" s="3">
        <v>30000</v>
      </c>
      <c r="H128" s="3">
        <v>30000</v>
      </c>
      <c r="I128" s="3" t="s">
        <v>883</v>
      </c>
      <c r="J128" s="4" t="s">
        <v>893</v>
      </c>
      <c r="M128" s="10">
        <f>DATEVALUE(SUBSTITUTE(SUBSTITUTE(SUBSTITUTE(SUBSTITUTE(SUBSTITUTE(SUBSTITUTE(SUBSTITUTE(SUBSTITUTE(SUBSTITUTE(SUBSTITUTE(SUBSTITUTE(SUBSTITUTE(Table1[[#This Row],[Tanggal]],"Jan", "Jan"),"Feb","Feb"),"Mar","Mar"),"Apr","Apr"),"Mei","May"),"Jun","Jun"),"Jul","Jul"),"Agu","Aug"),"Sep","Sep"),"Okt","Oct"),"Nov","Nov"),"Des","Dec"))</f>
        <v>46143</v>
      </c>
      <c r="N128" t="str">
        <f>Table1[[#This Row],[ID_Transaksi]]</f>
        <v>INV-1127</v>
      </c>
      <c r="O128" s="5" t="str">
        <f>PROPER(TRIM(SUBSTITUTE(Table1[[#This Row],[Nama_Toko]],"""","")))</f>
        <v>Toko Sukses</v>
      </c>
      <c r="P128" s="3" t="str">
        <f>PROPER(TRIM(Table1[[#This Row],[Kategori_Produk]]))</f>
        <v>Makanan</v>
      </c>
      <c r="Q128" t="str">
        <f>PROPER(TRIM(Table1[Nama Produk]))</f>
        <v>Kecap Manis Botol Besar</v>
      </c>
      <c r="R128">
        <f>Table1[[#This Row],[Qty]]</f>
        <v>1</v>
      </c>
      <c r="S128" t="str">
        <f>SUBSTITUTE(SUBSTITUTE(Table1[[#This Row],[Harga_Satuan]],"Rp.",""),".","")</f>
        <v>30000</v>
      </c>
      <c r="T128">
        <f>Table1[[#This Row],[Total_Penjualan]]</f>
        <v>30000</v>
      </c>
      <c r="U128" t="str">
        <f>PROPER(Table1[[#This Row],[Kota]])</f>
        <v>Bandung</v>
      </c>
      <c r="V128" t="str">
        <f>PROPER(Table1[[#This Row],[Metode_Pembayaran]])</f>
        <v>Tunai</v>
      </c>
    </row>
    <row r="129" spans="1:22" x14ac:dyDescent="0.25">
      <c r="A129" s="8" t="s">
        <v>1082</v>
      </c>
      <c r="B129" s="5" t="s">
        <v>464</v>
      </c>
      <c r="C129" s="5" t="s">
        <v>1087</v>
      </c>
      <c r="D129" s="5" t="s">
        <v>19</v>
      </c>
      <c r="E129" s="5" t="s">
        <v>465</v>
      </c>
      <c r="F129" s="5">
        <v>15</v>
      </c>
      <c r="G129" s="5">
        <v>6000</v>
      </c>
      <c r="H129" s="5">
        <v>90000</v>
      </c>
      <c r="I129" s="5" t="s">
        <v>919</v>
      </c>
      <c r="J129" s="6" t="s">
        <v>884</v>
      </c>
      <c r="M129" s="10">
        <f>DATEVALUE(SUBSTITUTE(SUBSTITUTE(SUBSTITUTE(SUBSTITUTE(SUBSTITUTE(SUBSTITUTE(SUBSTITUTE(SUBSTITUTE(SUBSTITUTE(SUBSTITUTE(SUBSTITUTE(SUBSTITUTE(Table1[[#This Row],[Tanggal]],"Jan", "Jan"),"Feb","Feb"),"Mar","Mar"),"Apr","Apr"),"Mei","May"),"Jun","Jun"),"Jul","Jul"),"Agu","Aug"),"Sep","Sep"),"Okt","Oct"),"Nov","Nov"),"Des","Dec"))</f>
        <v>46152</v>
      </c>
      <c r="N129" t="str">
        <f>Table1[[#This Row],[ID_Transaksi]]</f>
        <v>TRX-1128</v>
      </c>
      <c r="O129" s="5" t="str">
        <f>PROPER(TRIM(SUBSTITUTE(Table1[[#This Row],[Nama_Toko]],"""","")))</f>
        <v>Grosir Makmur</v>
      </c>
      <c r="P129" s="3" t="str">
        <f>PROPER(TRIM(Table1[[#This Row],[Kategori_Produk]]))</f>
        <v>Minuman</v>
      </c>
      <c r="Q129" t="str">
        <f>PROPER(TRIM(Table1[Nama Produk]))</f>
        <v>Cincau Hitam Kaleng</v>
      </c>
      <c r="R129">
        <f>Table1[[#This Row],[Qty]]</f>
        <v>15</v>
      </c>
      <c r="S129" t="str">
        <f>SUBSTITUTE(SUBSTITUTE(Table1[[#This Row],[Harga_Satuan]],"Rp.",""),".","")</f>
        <v>6000</v>
      </c>
      <c r="T129">
        <f>Table1[[#This Row],[Total_Penjualan]]</f>
        <v>90000</v>
      </c>
      <c r="U129" t="str">
        <f>PROPER(Table1[[#This Row],[Kota]])</f>
        <v>Semarang</v>
      </c>
      <c r="V129" t="str">
        <f>PROPER(Table1[[#This Row],[Metode_Pembayaran]])</f>
        <v>Kartu Debit</v>
      </c>
    </row>
    <row r="130" spans="1:22" x14ac:dyDescent="0.25">
      <c r="A130" s="7" t="s">
        <v>1420</v>
      </c>
      <c r="B130" s="3" t="s">
        <v>467</v>
      </c>
      <c r="C130" s="3" t="s">
        <v>1088</v>
      </c>
      <c r="D130" s="3" t="s">
        <v>886</v>
      </c>
      <c r="E130" s="3" t="s">
        <v>1089</v>
      </c>
      <c r="F130" s="3">
        <v>1</v>
      </c>
      <c r="G130" s="3">
        <v>250000</v>
      </c>
      <c r="H130" s="3">
        <v>250000</v>
      </c>
      <c r="I130" s="3" t="s">
        <v>965</v>
      </c>
      <c r="J130" s="4" t="s">
        <v>888</v>
      </c>
      <c r="M130" s="10">
        <f>DATEVALUE(SUBSTITUTE(SUBSTITUTE(SUBSTITUTE(SUBSTITUTE(SUBSTITUTE(SUBSTITUTE(SUBSTITUTE(SUBSTITUTE(SUBSTITUTE(SUBSTITUTE(SUBSTITUTE(SUBSTITUTE(Table1[[#This Row],[Tanggal]],"Jan", "Jan"),"Feb","Feb"),"Mar","Mar"),"Apr","Apr"),"Mei","May"),"Jun","Jun"),"Jul","Jul"),"Agu","Aug"),"Sep","Sep"),"Okt","Oct"),"Nov","Nov"),"Des","Dec"))</f>
        <v>46162</v>
      </c>
      <c r="N130" t="str">
        <f>Table1[[#This Row],[ID_Transaksi]]</f>
        <v>INV-1129</v>
      </c>
      <c r="O130" s="5" t="str">
        <f>PROPER(TRIM(SUBSTITUTE(Table1[[#This Row],[Nama_Toko]],"""","")))</f>
        <v>Warung Jago</v>
      </c>
      <c r="P130" s="3" t="str">
        <f>PROPER(TRIM(Table1[[#This Row],[Kategori_Produk]]))</f>
        <v>Elektronik</v>
      </c>
      <c r="Q130" t="str">
        <f>PROPER(TRIM(Table1[Nama Produk]))</f>
        <v>Lampu Sorot Led Outdoor</v>
      </c>
      <c r="R130">
        <f>Table1[[#This Row],[Qty]]</f>
        <v>1</v>
      </c>
      <c r="S130" t="str">
        <f>SUBSTITUTE(SUBSTITUTE(Table1[[#This Row],[Harga_Satuan]],"Rp.",""),".","")</f>
        <v>250000</v>
      </c>
      <c r="T130">
        <f>Table1[[#This Row],[Total_Penjualan]]</f>
        <v>250000</v>
      </c>
      <c r="U130" t="str">
        <f>PROPER(Table1[[#This Row],[Kota]])</f>
        <v>Surabaya</v>
      </c>
      <c r="V130" t="str">
        <f>PROPER(Table1[[#This Row],[Metode_Pembayaran]])</f>
        <v>Kartu Kredit</v>
      </c>
    </row>
    <row r="131" spans="1:22" x14ac:dyDescent="0.25">
      <c r="A131" s="8" t="s">
        <v>1421</v>
      </c>
      <c r="B131" s="5" t="s">
        <v>470</v>
      </c>
      <c r="C131" s="5" t="s">
        <v>1090</v>
      </c>
      <c r="D131" s="5" t="s">
        <v>890</v>
      </c>
      <c r="E131" s="5" t="s">
        <v>471</v>
      </c>
      <c r="F131" s="5">
        <v>3</v>
      </c>
      <c r="G131" s="5">
        <v>40000</v>
      </c>
      <c r="H131" s="5">
        <v>120000</v>
      </c>
      <c r="I131" s="5" t="s">
        <v>937</v>
      </c>
      <c r="J131" s="6" t="s">
        <v>893</v>
      </c>
      <c r="M131" s="10">
        <f>DATEVALUE(SUBSTITUTE(SUBSTITUTE(SUBSTITUTE(SUBSTITUTE(SUBSTITUTE(SUBSTITUTE(SUBSTITUTE(SUBSTITUTE(SUBSTITUTE(SUBSTITUTE(SUBSTITUTE(SUBSTITUTE(Table1[[#This Row],[Tanggal]],"Jan", "Jan"),"Feb","Feb"),"Mar","Mar"),"Apr","Apr"),"Mei","May"),"Jun","Jun"),"Jul","Jul"),"Agu","Aug"),"Sep","Sep"),"Okt","Oct"),"Nov","Nov"),"Des","Dec"))</f>
        <v>46174</v>
      </c>
      <c r="N131" t="str">
        <f>Table1[[#This Row],[ID_Transaksi]]</f>
        <v>TRX-1130</v>
      </c>
      <c r="O131" s="5" t="str">
        <f>PROPER(TRIM(SUBSTITUTE(Table1[[#This Row],[Nama_Toko]],"""","")))</f>
        <v>Gudang Indah</v>
      </c>
      <c r="P131" s="3" t="str">
        <f>PROPER(TRIM(Table1[[#This Row],[Kategori_Produk]]))</f>
        <v>Kecantikan</v>
      </c>
      <c r="Q131" t="str">
        <f>PROPER(TRIM(Table1[Nama Produk]))</f>
        <v>Handbody Pemutih</v>
      </c>
      <c r="R131">
        <f>Table1[[#This Row],[Qty]]</f>
        <v>3</v>
      </c>
      <c r="S131" t="str">
        <f>SUBSTITUTE(SUBSTITUTE(Table1[[#This Row],[Harga_Satuan]],"Rp.",""),".","")</f>
        <v>40000</v>
      </c>
      <c r="T131">
        <f>Table1[[#This Row],[Total_Penjualan]]</f>
        <v>120000</v>
      </c>
      <c r="U131" t="str">
        <f>PROPER(Table1[[#This Row],[Kota]])</f>
        <v>Depok</v>
      </c>
      <c r="V131" t="str">
        <f>PROPER(Table1[[#This Row],[Metode_Pembayaran]])</f>
        <v>Tunai</v>
      </c>
    </row>
    <row r="132" spans="1:22" x14ac:dyDescent="0.25">
      <c r="A132" s="7" t="s">
        <v>1422</v>
      </c>
      <c r="B132" s="3" t="s">
        <v>472</v>
      </c>
      <c r="C132" s="3" t="s">
        <v>1091</v>
      </c>
      <c r="D132" s="3" t="s">
        <v>895</v>
      </c>
      <c r="E132" s="3" t="s">
        <v>1092</v>
      </c>
      <c r="F132" s="3">
        <v>7</v>
      </c>
      <c r="G132" s="3">
        <v>10000</v>
      </c>
      <c r="H132" s="3">
        <v>70000</v>
      </c>
      <c r="I132" s="3" t="s">
        <v>968</v>
      </c>
      <c r="J132" s="4" t="s">
        <v>884</v>
      </c>
      <c r="M132" s="10">
        <f>DATEVALUE(SUBSTITUTE(SUBSTITUTE(SUBSTITUTE(SUBSTITUTE(SUBSTITUTE(SUBSTITUTE(SUBSTITUTE(SUBSTITUTE(SUBSTITUTE(SUBSTITUTE(SUBSTITUTE(SUBSTITUTE(Table1[[#This Row],[Tanggal]],"Jan", "Jan"),"Feb","Feb"),"Mar","Mar"),"Apr","Apr"),"Mei","May"),"Jun","Jun"),"Jul","Jul"),"Agu","Aug"),"Sep","Sep"),"Okt","Oct"),"Nov","Nov"),"Des","Dec"))</f>
        <v>46188</v>
      </c>
      <c r="N132" t="str">
        <f>Table1[[#This Row],[ID_Transaksi]]</f>
        <v>INV-1131</v>
      </c>
      <c r="O132" s="5" t="str">
        <f>PROPER(TRIM(SUBSTITUTE(Table1[[#This Row],[Nama_Toko]],"""","")))</f>
        <v>Toko Ramah</v>
      </c>
      <c r="P132" s="3" t="str">
        <f>PROPER(TRIM(Table1[[#This Row],[Kategori_Produk]]))</f>
        <v>Makanan</v>
      </c>
      <c r="Q132" t="str">
        <f>PROPER(TRIM(Table1[Nama Produk]))</f>
        <v>Keripik Singkong Pedas</v>
      </c>
      <c r="R132">
        <f>Table1[[#This Row],[Qty]]</f>
        <v>7</v>
      </c>
      <c r="S132" t="str">
        <f>SUBSTITUTE(SUBSTITUTE(Table1[[#This Row],[Harga_Satuan]],"Rp.",""),".","")</f>
        <v>10000</v>
      </c>
      <c r="T132">
        <f>Table1[[#This Row],[Total_Penjualan]]</f>
        <v>70000</v>
      </c>
      <c r="U132" t="str">
        <f>PROPER(Table1[[#This Row],[Kota]])</f>
        <v>Jakarta Selatan</v>
      </c>
      <c r="V132" t="str">
        <f>PROPER(Table1[[#This Row],[Metode_Pembayaran]])</f>
        <v>Kartu Debit</v>
      </c>
    </row>
    <row r="133" spans="1:22" x14ac:dyDescent="0.25">
      <c r="A133" s="8" t="s">
        <v>1423</v>
      </c>
      <c r="B133" s="5" t="s">
        <v>475</v>
      </c>
      <c r="C133" s="5" t="s">
        <v>1093</v>
      </c>
      <c r="D133" s="5" t="s">
        <v>43</v>
      </c>
      <c r="E133" s="5" t="s">
        <v>477</v>
      </c>
      <c r="F133" s="5">
        <v>1</v>
      </c>
      <c r="G133" s="5">
        <v>750000</v>
      </c>
      <c r="H133" s="5">
        <v>750000</v>
      </c>
      <c r="I133" s="5" t="s">
        <v>915</v>
      </c>
      <c r="J133" s="6" t="s">
        <v>880</v>
      </c>
      <c r="M133" s="10">
        <f>DATEVALUE(SUBSTITUTE(SUBSTITUTE(SUBSTITUTE(SUBSTITUTE(SUBSTITUTE(SUBSTITUTE(SUBSTITUTE(SUBSTITUTE(SUBSTITUTE(SUBSTITUTE(SUBSTITUTE(SUBSTITUTE(Table1[[#This Row],[Tanggal]],"Jan", "Jan"),"Feb","Feb"),"Mar","Mar"),"Apr","Apr"),"Mei","May"),"Jun","Jun"),"Jul","Jul"),"Agu","Aug"),"Sep","Sep"),"Okt","Oct"),"Nov","Nov"),"Des","Dec"))</f>
        <v>46198</v>
      </c>
      <c r="N133" t="str">
        <f>Table1[[#This Row],[ID_Transaksi]]</f>
        <v>TRX-1132</v>
      </c>
      <c r="O133" s="5" t="str">
        <f>PROPER(TRIM(SUBSTITUTE(Table1[[#This Row],[Nama_Toko]],"""","")))</f>
        <v>Pasar Mewah</v>
      </c>
      <c r="P133" s="3" t="str">
        <f>PROPER(TRIM(Table1[[#This Row],[Kategori_Produk]]))</f>
        <v>Pakaian</v>
      </c>
      <c r="Q133" t="str">
        <f>PROPER(TRIM(Table1[Nama Produk]))</f>
        <v>Sepatu Pantofel Kulit</v>
      </c>
      <c r="R133">
        <f>Table1[[#This Row],[Qty]]</f>
        <v>1</v>
      </c>
      <c r="S133" t="str">
        <f>SUBSTITUTE(SUBSTITUTE(Table1[[#This Row],[Harga_Satuan]],"Rp.",""),".","")</f>
        <v>750000</v>
      </c>
      <c r="T133">
        <f>Table1[[#This Row],[Total_Penjualan]]</f>
        <v>750000</v>
      </c>
      <c r="U133" t="str">
        <f>PROPER(Table1[[#This Row],[Kota]])</f>
        <v>Medan</v>
      </c>
      <c r="V133" t="str">
        <f>PROPER(Table1[[#This Row],[Metode_Pembayaran]])</f>
        <v>Tunai</v>
      </c>
    </row>
    <row r="134" spans="1:22" x14ac:dyDescent="0.25">
      <c r="A134" s="7" t="s">
        <v>1424</v>
      </c>
      <c r="B134" s="3" t="s">
        <v>479</v>
      </c>
      <c r="C134" s="3" t="s">
        <v>1095</v>
      </c>
      <c r="D134" s="3" t="s">
        <v>901</v>
      </c>
      <c r="E134" s="3" t="s">
        <v>480</v>
      </c>
      <c r="F134" s="3">
        <v>4</v>
      </c>
      <c r="G134" s="3">
        <v>65000</v>
      </c>
      <c r="H134" s="3">
        <v>260000</v>
      </c>
      <c r="I134" s="3" t="s">
        <v>913</v>
      </c>
      <c r="J134" s="4" t="s">
        <v>29</v>
      </c>
      <c r="M134" s="10">
        <f>DATEVALUE(SUBSTITUTE(SUBSTITUTE(SUBSTITUTE(SUBSTITUTE(SUBSTITUTE(SUBSTITUTE(SUBSTITUTE(SUBSTITUTE(SUBSTITUTE(SUBSTITUTE(SUBSTITUTE(SUBSTITUTE(Table1[[#This Row],[Tanggal]],"Jan", "Jan"),"Feb","Feb"),"Mar","Mar"),"Apr","Apr"),"Mei","May"),"Jun","Jun"),"Jul","Jul"),"Agu","Aug"),"Sep","Sep"),"Okt","Oct"),"Nov","Nov"),"Des","Dec"))</f>
        <v>46208</v>
      </c>
      <c r="N134" t="str">
        <f>Table1[[#This Row],[ID_Transaksi]]</f>
        <v>INV-1133</v>
      </c>
      <c r="O134" s="5" t="str">
        <f>PROPER(TRIM(SUBSTITUTE(Table1[[#This Row],[Nama_Toko]],"""","")))</f>
        <v>Minimarket Unggul</v>
      </c>
      <c r="P134" s="3" t="str">
        <f>PROPER(TRIM(Table1[[#This Row],[Kategori_Produk]]))</f>
        <v>Mainan</v>
      </c>
      <c r="Q134" t="str">
        <f>PROPER(TRIM(Table1[Nama Produk]))</f>
        <v>Puzzle 3D Kayu</v>
      </c>
      <c r="R134">
        <f>Table1[[#This Row],[Qty]]</f>
        <v>4</v>
      </c>
      <c r="S134" t="str">
        <f>SUBSTITUTE(SUBSTITUTE(Table1[[#This Row],[Harga_Satuan]],"Rp.",""),".","")</f>
        <v>65000</v>
      </c>
      <c r="T134">
        <f>Table1[[#This Row],[Total_Penjualan]]</f>
        <v>260000</v>
      </c>
      <c r="U134" t="str">
        <f>PROPER(Table1[[#This Row],[Kota]])</f>
        <v>Yogyakarta</v>
      </c>
      <c r="V134" t="str">
        <f>PROPER(Table1[[#This Row],[Metode_Pembayaran]])</f>
        <v>Kartu Kredit</v>
      </c>
    </row>
    <row r="135" spans="1:22" x14ac:dyDescent="0.25">
      <c r="A135" s="8" t="s">
        <v>1425</v>
      </c>
      <c r="B135" s="5" t="s">
        <v>482</v>
      </c>
      <c r="C135" s="5" t="s">
        <v>1096</v>
      </c>
      <c r="D135" s="5" t="s">
        <v>12</v>
      </c>
      <c r="E135" s="5" t="s">
        <v>484</v>
      </c>
      <c r="F135" s="5">
        <v>20</v>
      </c>
      <c r="G135" s="5">
        <v>4000</v>
      </c>
      <c r="H135" s="5">
        <v>80000</v>
      </c>
      <c r="I135" s="5" t="s">
        <v>960</v>
      </c>
      <c r="J135" s="6" t="s">
        <v>893</v>
      </c>
      <c r="M135" s="10">
        <f>DATEVALUE(SUBSTITUTE(SUBSTITUTE(SUBSTITUTE(SUBSTITUTE(SUBSTITUTE(SUBSTITUTE(SUBSTITUTE(SUBSTITUTE(SUBSTITUTE(SUBSTITUTE(SUBSTITUTE(SUBSTITUTE(Table1[[#This Row],[Tanggal]],"Jan", "Jan"),"Feb","Feb"),"Mar","Mar"),"Apr","Apr"),"Mei","May"),"Jun","Jun"),"Jul","Jul"),"Agu","Aug"),"Sep","Sep"),"Okt","Oct"),"Nov","Nov"),"Des","Dec"))</f>
        <v>46218</v>
      </c>
      <c r="N135" t="str">
        <f>Table1[[#This Row],[ID_Transaksi]]</f>
        <v>TRX-1134</v>
      </c>
      <c r="O135" s="5" t="str">
        <f>PROPER(TRIM(SUBSTITUTE(Table1[[#This Row],[Nama_Toko]],"""","")))</f>
        <v>Toko Cermat</v>
      </c>
      <c r="P135" s="3" t="str">
        <f>PROPER(TRIM(Table1[[#This Row],[Kategori_Produk]]))</f>
        <v>Makanan</v>
      </c>
      <c r="Q135" t="str">
        <f>PROPER(TRIM(Table1[Nama Produk]))</f>
        <v>Permen Rasa Buah Mix</v>
      </c>
      <c r="R135">
        <f>Table1[[#This Row],[Qty]]</f>
        <v>20</v>
      </c>
      <c r="S135" t="str">
        <f>SUBSTITUTE(SUBSTITUTE(Table1[[#This Row],[Harga_Satuan]],"Rp.",""),".","")</f>
        <v>4000</v>
      </c>
      <c r="T135">
        <f>Table1[[#This Row],[Total_Penjualan]]</f>
        <v>80000</v>
      </c>
      <c r="U135" t="str">
        <f>PROPER(Table1[[#This Row],[Kota]])</f>
        <v>Malang</v>
      </c>
      <c r="V135" t="str">
        <f>PROPER(Table1[[#This Row],[Metode_Pembayaran]])</f>
        <v>Tunai</v>
      </c>
    </row>
    <row r="136" spans="1:22" x14ac:dyDescent="0.25">
      <c r="A136" s="7" t="s">
        <v>1426</v>
      </c>
      <c r="B136" s="3" t="s">
        <v>486</v>
      </c>
      <c r="C136" s="3" t="s">
        <v>1097</v>
      </c>
      <c r="D136" s="3" t="s">
        <v>19</v>
      </c>
      <c r="E136" s="3" t="s">
        <v>487</v>
      </c>
      <c r="F136" s="3">
        <v>5</v>
      </c>
      <c r="G136" s="3">
        <v>22000</v>
      </c>
      <c r="H136" s="3">
        <v>110000</v>
      </c>
      <c r="I136" s="3" t="s">
        <v>21</v>
      </c>
      <c r="J136" s="4" t="s">
        <v>884</v>
      </c>
      <c r="M136" s="10">
        <f>DATEVALUE(SUBSTITUTE(SUBSTITUTE(SUBSTITUTE(SUBSTITUTE(SUBSTITUTE(SUBSTITUTE(SUBSTITUTE(SUBSTITUTE(SUBSTITUTE(SUBSTITUTE(SUBSTITUTE(SUBSTITUTE(Table1[[#This Row],[Tanggal]],"Jan", "Jan"),"Feb","Feb"),"Mar","Mar"),"Apr","Apr"),"Mei","May"),"Jun","Jun"),"Jul","Jul"),"Agu","Aug"),"Sep","Sep"),"Okt","Oct"),"Nov","Nov"),"Des","Dec"))</f>
        <v>46228</v>
      </c>
      <c r="N136" t="str">
        <f>Table1[[#This Row],[ID_Transaksi]]</f>
        <v>INV-1135</v>
      </c>
      <c r="O136" s="5" t="str">
        <f>PROPER(TRIM(SUBSTITUTE(Table1[[#This Row],[Nama_Toko]],"""","")))</f>
        <v>Grosir Pintar</v>
      </c>
      <c r="P136" s="3" t="str">
        <f>PROPER(TRIM(Table1[[#This Row],[Kategori_Produk]]))</f>
        <v>Minuman</v>
      </c>
      <c r="Q136" t="str">
        <f>PROPER(TRIM(Table1[Nama Produk]))</f>
        <v>Smoothie Buah Kemasan</v>
      </c>
      <c r="R136">
        <f>Table1[[#This Row],[Qty]]</f>
        <v>5</v>
      </c>
      <c r="S136" t="str">
        <f>SUBSTITUTE(SUBSTITUTE(Table1[[#This Row],[Harga_Satuan]],"Rp.",""),".","")</f>
        <v>22000</v>
      </c>
      <c r="T136">
        <f>Table1[[#This Row],[Total_Penjualan]]</f>
        <v>110000</v>
      </c>
      <c r="U136" t="str">
        <f>PROPER(Table1[[#This Row],[Kota]])</f>
        <v>Bandung</v>
      </c>
      <c r="V136" t="str">
        <f>PROPER(Table1[[#This Row],[Metode_Pembayaran]])</f>
        <v>Kartu Debit</v>
      </c>
    </row>
    <row r="137" spans="1:22" x14ac:dyDescent="0.25">
      <c r="A137" s="8" t="s">
        <v>1427</v>
      </c>
      <c r="B137" s="5" t="s">
        <v>488</v>
      </c>
      <c r="C137" s="5" t="s">
        <v>1098</v>
      </c>
      <c r="D137" s="5" t="s">
        <v>886</v>
      </c>
      <c r="E137" s="5" t="s">
        <v>1099</v>
      </c>
      <c r="F137" s="5">
        <v>2</v>
      </c>
      <c r="G137" s="5">
        <v>55000</v>
      </c>
      <c r="H137" s="5">
        <v>110000</v>
      </c>
      <c r="I137" s="5" t="s">
        <v>932</v>
      </c>
      <c r="J137" s="6" t="s">
        <v>888</v>
      </c>
      <c r="M137" s="10">
        <f>DATEVALUE(SUBSTITUTE(SUBSTITUTE(SUBSTITUTE(SUBSTITUTE(SUBSTITUTE(SUBSTITUTE(SUBSTITUTE(SUBSTITUTE(SUBSTITUTE(SUBSTITUTE(SUBSTITUTE(SUBSTITUTE(Table1[[#This Row],[Tanggal]],"Jan", "Jan"),"Feb","Feb"),"Mar","Mar"),"Apr","Apr"),"Mei","May"),"Jun","Jun"),"Jul","Jul"),"Agu","Aug"),"Sep","Sep"),"Okt","Oct"),"Nov","Nov"),"Des","Dec"))</f>
        <v>46235</v>
      </c>
      <c r="N137" t="str">
        <f>Table1[[#This Row],[ID_Transaksi]]</f>
        <v>TRX-1136</v>
      </c>
      <c r="O137" s="5" t="str">
        <f>PROPER(TRIM(SUBSTITUTE(Table1[[#This Row],[Nama_Toko]],"""","")))</f>
        <v>Warung Hebat</v>
      </c>
      <c r="P137" s="3" t="str">
        <f>PROPER(TRIM(Table1[[#This Row],[Kategori_Produk]]))</f>
        <v>Elektronik</v>
      </c>
      <c r="Q137" t="str">
        <f>PROPER(TRIM(Table1[Nama Produk]))</f>
        <v>Charger Mobil Dual Usb</v>
      </c>
      <c r="R137">
        <f>Table1[[#This Row],[Qty]]</f>
        <v>2</v>
      </c>
      <c r="S137" t="str">
        <f>SUBSTITUTE(SUBSTITUTE(Table1[[#This Row],[Harga_Satuan]],"Rp.",""),".","")</f>
        <v>55000</v>
      </c>
      <c r="T137">
        <f>Table1[[#This Row],[Total_Penjualan]]</f>
        <v>110000</v>
      </c>
      <c r="U137" t="str">
        <f>PROPER(Table1[[#This Row],[Kota]])</f>
        <v>Semarang</v>
      </c>
      <c r="V137" t="str">
        <f>PROPER(Table1[[#This Row],[Metode_Pembayaran]])</f>
        <v>Kartu Kredit</v>
      </c>
    </row>
    <row r="138" spans="1:22" x14ac:dyDescent="0.25">
      <c r="A138" s="7" t="s">
        <v>1094</v>
      </c>
      <c r="B138" s="3" t="s">
        <v>491</v>
      </c>
      <c r="C138" s="3" t="s">
        <v>1100</v>
      </c>
      <c r="D138" s="3" t="s">
        <v>890</v>
      </c>
      <c r="E138" s="3" t="s">
        <v>492</v>
      </c>
      <c r="F138" s="3">
        <v>1</v>
      </c>
      <c r="G138" s="3">
        <v>60000</v>
      </c>
      <c r="H138" s="3">
        <v>60000</v>
      </c>
      <c r="I138" s="3" t="s">
        <v>951</v>
      </c>
      <c r="J138" s="4" t="s">
        <v>893</v>
      </c>
      <c r="M138" s="10">
        <f>DATEVALUE(SUBSTITUTE(SUBSTITUTE(SUBSTITUTE(SUBSTITUTE(SUBSTITUTE(SUBSTITUTE(SUBSTITUTE(SUBSTITUTE(SUBSTITUTE(SUBSTITUTE(SUBSTITUTE(SUBSTITUTE(Table1[[#This Row],[Tanggal]],"Jan", "Jan"),"Feb","Feb"),"Mar","Mar"),"Apr","Apr"),"Mei","May"),"Jun","Jun"),"Jul","Jul"),"Agu","Aug"),"Sep","Sep"),"Okt","Oct"),"Nov","Nov"),"Des","Dec"))</f>
        <v>46244</v>
      </c>
      <c r="N138" t="str">
        <f>Table1[[#This Row],[ID_Transaksi]]</f>
        <v>INV-1137</v>
      </c>
      <c r="O138" s="5" t="str">
        <f>PROPER(TRIM(SUBSTITUTE(Table1[[#This Row],[Nama_Toko]],"""","")))</f>
        <v>Gudang Asri</v>
      </c>
      <c r="P138" s="3" t="str">
        <f>PROPER(TRIM(Table1[[#This Row],[Kategori_Produk]]))</f>
        <v>Kecantikan</v>
      </c>
      <c r="Q138" t="str">
        <f>PROPER(TRIM(Table1[Nama Produk]))</f>
        <v>Sisir Rambut Ion</v>
      </c>
      <c r="R138">
        <f>Table1[[#This Row],[Qty]]</f>
        <v>1</v>
      </c>
      <c r="S138" t="str">
        <f>SUBSTITUTE(SUBSTITUTE(Table1[[#This Row],[Harga_Satuan]],"Rp.",""),".","")</f>
        <v>60000</v>
      </c>
      <c r="T138">
        <f>Table1[[#This Row],[Total_Penjualan]]</f>
        <v>60000</v>
      </c>
      <c r="U138" t="str">
        <f>PROPER(Table1[[#This Row],[Kota]])</f>
        <v>Surabaya</v>
      </c>
      <c r="V138" t="str">
        <f>PROPER(Table1[[#This Row],[Metode_Pembayaran]])</f>
        <v>Tunai</v>
      </c>
    </row>
    <row r="139" spans="1:22" x14ac:dyDescent="0.25">
      <c r="A139" s="8" t="s">
        <v>1428</v>
      </c>
      <c r="B139" s="5" t="s">
        <v>493</v>
      </c>
      <c r="C139" s="5" t="s">
        <v>1101</v>
      </c>
      <c r="D139" s="5" t="s">
        <v>895</v>
      </c>
      <c r="E139" s="5" t="s">
        <v>1102</v>
      </c>
      <c r="F139" s="5">
        <v>3</v>
      </c>
      <c r="G139" s="5">
        <v>50000</v>
      </c>
      <c r="H139" s="5">
        <v>150000</v>
      </c>
      <c r="I139" s="5" t="s">
        <v>923</v>
      </c>
      <c r="J139" s="6" t="s">
        <v>884</v>
      </c>
      <c r="M139" s="10">
        <f>DATEVALUE(SUBSTITUTE(SUBSTITUTE(SUBSTITUTE(SUBSTITUTE(SUBSTITUTE(SUBSTITUTE(SUBSTITUTE(SUBSTITUTE(SUBSTITUTE(SUBSTITUTE(SUBSTITUTE(SUBSTITUTE(Table1[[#This Row],[Tanggal]],"Jan", "Jan"),"Feb","Feb"),"Mar","Mar"),"Apr","Apr"),"Mei","May"),"Jun","Jun"),"Jul","Jul"),"Agu","Aug"),"Sep","Sep"),"Okt","Oct"),"Nov","Nov"),"Des","Dec"))</f>
        <v>46254</v>
      </c>
      <c r="N139" t="str">
        <f>Table1[[#This Row],[ID_Transaksi]]</f>
        <v>TRX-1138</v>
      </c>
      <c r="O139" s="5" t="str">
        <f>PROPER(TRIM(SUBSTITUTE(Table1[[#This Row],[Nama_Toko]],"""","")))</f>
        <v>Toko Gemilang</v>
      </c>
      <c r="P139" s="3" t="str">
        <f>PROPER(TRIM(Table1[[#This Row],[Kategori_Produk]]))</f>
        <v>Makanan</v>
      </c>
      <c r="Q139" t="str">
        <f>PROPER(TRIM(Table1[Nama Produk]))</f>
        <v>Bahan Roti Premium</v>
      </c>
      <c r="R139">
        <f>Table1[[#This Row],[Qty]]</f>
        <v>3</v>
      </c>
      <c r="S139" t="str">
        <f>SUBSTITUTE(SUBSTITUTE(Table1[[#This Row],[Harga_Satuan]],"Rp.",""),".","")</f>
        <v>50000</v>
      </c>
      <c r="T139">
        <f>Table1[[#This Row],[Total_Penjualan]]</f>
        <v>150000</v>
      </c>
      <c r="U139" t="str">
        <f>PROPER(Table1[[#This Row],[Kota]])</f>
        <v>Denpasar</v>
      </c>
      <c r="V139" t="str">
        <f>PROPER(Table1[[#This Row],[Metode_Pembayaran]])</f>
        <v>Kartu Debit</v>
      </c>
    </row>
    <row r="140" spans="1:22" x14ac:dyDescent="0.25">
      <c r="A140" s="7" t="s">
        <v>1429</v>
      </c>
      <c r="B140" s="3" t="s">
        <v>497</v>
      </c>
      <c r="C140" s="3" t="s">
        <v>1104</v>
      </c>
      <c r="D140" s="3" t="s">
        <v>43</v>
      </c>
      <c r="E140" s="3" t="s">
        <v>499</v>
      </c>
      <c r="F140" s="3">
        <v>1</v>
      </c>
      <c r="G140" s="3">
        <v>180000</v>
      </c>
      <c r="H140" s="3">
        <v>180000</v>
      </c>
      <c r="I140" s="3" t="s">
        <v>1004</v>
      </c>
      <c r="J140" s="4" t="s">
        <v>880</v>
      </c>
      <c r="M140" s="10">
        <f>DATEVALUE(SUBSTITUTE(SUBSTITUTE(SUBSTITUTE(SUBSTITUTE(SUBSTITUTE(SUBSTITUTE(SUBSTITUTE(SUBSTITUTE(SUBSTITUTE(SUBSTITUTE(SUBSTITUTE(SUBSTITUTE(Table1[[#This Row],[Tanggal]],"Jan", "Jan"),"Feb","Feb"),"Mar","Mar"),"Apr","Apr"),"Mei","May"),"Jun","Jun"),"Jul","Jul"),"Agu","Aug"),"Sep","Sep"),"Okt","Oct"),"Nov","Nov"),"Des","Dec"))</f>
        <v>46266</v>
      </c>
      <c r="N140" t="str">
        <f>Table1[[#This Row],[ID_Transaksi]]</f>
        <v>INV-1139</v>
      </c>
      <c r="O140" s="5" t="str">
        <f>PROPER(TRIM(SUBSTITUTE(Table1[[#This Row],[Nama_Toko]],"""","")))</f>
        <v>Pasar Raya Besar</v>
      </c>
      <c r="P140" s="3" t="str">
        <f>PROPER(TRIM(Table1[[#This Row],[Kategori_Produk]]))</f>
        <v>Pakaian</v>
      </c>
      <c r="Q140" t="str">
        <f>PROPER(TRIM(Table1[Nama Produk]))</f>
        <v>Jam Tangan Digital Sport</v>
      </c>
      <c r="R140">
        <f>Table1[[#This Row],[Qty]]</f>
        <v>1</v>
      </c>
      <c r="S140" t="str">
        <f>SUBSTITUTE(SUBSTITUTE(Table1[[#This Row],[Harga_Satuan]],"Rp.",""),".","")</f>
        <v>180000</v>
      </c>
      <c r="T140">
        <f>Table1[[#This Row],[Total_Penjualan]]</f>
        <v>180000</v>
      </c>
      <c r="U140" t="str">
        <f>PROPER(Table1[[#This Row],[Kota]])</f>
        <v>Jakarta</v>
      </c>
      <c r="V140" t="str">
        <f>PROPER(Table1[[#This Row],[Metode_Pembayaran]])</f>
        <v>Tunai</v>
      </c>
    </row>
    <row r="141" spans="1:22" x14ac:dyDescent="0.25">
      <c r="A141" s="8" t="s">
        <v>1430</v>
      </c>
      <c r="B141" s="5" t="s">
        <v>500</v>
      </c>
      <c r="C141" s="5" t="s">
        <v>1105</v>
      </c>
      <c r="D141" s="5" t="s">
        <v>901</v>
      </c>
      <c r="E141" s="5" t="s">
        <v>501</v>
      </c>
      <c r="F141" s="5">
        <v>1</v>
      </c>
      <c r="G141" s="5">
        <v>150000</v>
      </c>
      <c r="H141" s="5">
        <v>150000</v>
      </c>
      <c r="I141" s="5" t="s">
        <v>915</v>
      </c>
      <c r="J141" s="6" t="s">
        <v>29</v>
      </c>
      <c r="M141" s="10">
        <f>DATEVALUE(SUBSTITUTE(SUBSTITUTE(SUBSTITUTE(SUBSTITUTE(SUBSTITUTE(SUBSTITUTE(SUBSTITUTE(SUBSTITUTE(SUBSTITUTE(SUBSTITUTE(SUBSTITUTE(SUBSTITUTE(Table1[[#This Row],[Tanggal]],"Jan", "Jan"),"Feb","Feb"),"Mar","Mar"),"Apr","Apr"),"Mei","May"),"Jun","Jun"),"Jul","Jul"),"Agu","Aug"),"Sep","Sep"),"Okt","Oct"),"Nov","Nov"),"Des","Dec"))</f>
        <v>46280</v>
      </c>
      <c r="N141" t="str">
        <f>Table1[[#This Row],[ID_Transaksi]]</f>
        <v>TRX-1140</v>
      </c>
      <c r="O141" s="5" t="str">
        <f>PROPER(TRIM(SUBSTITUTE(Table1[[#This Row],[Nama_Toko]],"""","")))</f>
        <v>Minimarket Lestari</v>
      </c>
      <c r="P141" s="3" t="str">
        <f>PROPER(TRIM(Table1[[#This Row],[Kategori_Produk]]))</f>
        <v>Mainan</v>
      </c>
      <c r="Q141" t="str">
        <f>PROPER(TRIM(Table1[Nama Produk]))</f>
        <v>Robot Mainan Transformer</v>
      </c>
      <c r="R141">
        <f>Table1[[#This Row],[Qty]]</f>
        <v>1</v>
      </c>
      <c r="S141" t="str">
        <f>SUBSTITUTE(SUBSTITUTE(Table1[[#This Row],[Harga_Satuan]],"Rp.",""),".","")</f>
        <v>150000</v>
      </c>
      <c r="T141">
        <f>Table1[[#This Row],[Total_Penjualan]]</f>
        <v>150000</v>
      </c>
      <c r="U141" t="str">
        <f>PROPER(Table1[[#This Row],[Kota]])</f>
        <v>Medan</v>
      </c>
      <c r="V141" t="str">
        <f>PROPER(Table1[[#This Row],[Metode_Pembayaran]])</f>
        <v>Kartu Kredit</v>
      </c>
    </row>
    <row r="142" spans="1:22" x14ac:dyDescent="0.25">
      <c r="A142" s="7" t="s">
        <v>1431</v>
      </c>
      <c r="B142" s="3" t="s">
        <v>503</v>
      </c>
      <c r="C142" s="3" t="s">
        <v>1106</v>
      </c>
      <c r="D142" s="3" t="s">
        <v>12</v>
      </c>
      <c r="E142" s="3" t="s">
        <v>505</v>
      </c>
      <c r="F142" s="3">
        <v>10</v>
      </c>
      <c r="G142" s="3">
        <v>3000</v>
      </c>
      <c r="H142" s="3">
        <v>30000</v>
      </c>
      <c r="I142" s="3" t="s">
        <v>913</v>
      </c>
      <c r="J142" s="4" t="s">
        <v>893</v>
      </c>
      <c r="M142" s="10">
        <f>DATEVALUE(SUBSTITUTE(SUBSTITUTE(SUBSTITUTE(SUBSTITUTE(SUBSTITUTE(SUBSTITUTE(SUBSTITUTE(SUBSTITUTE(SUBSTITUTE(SUBSTITUTE(SUBSTITUTE(SUBSTITUTE(Table1[[#This Row],[Tanggal]],"Jan", "Jan"),"Feb","Feb"),"Mar","Mar"),"Apr","Apr"),"Mei","May"),"Jun","Jun"),"Jul","Jul"),"Agu","Aug"),"Sep","Sep"),"Okt","Oct"),"Nov","Nov"),"Des","Dec"))</f>
        <v>46290</v>
      </c>
      <c r="N142" t="str">
        <f>Table1[[#This Row],[ID_Transaksi]]</f>
        <v>INV-1141</v>
      </c>
      <c r="O142" s="5" t="str">
        <f>PROPER(TRIM(SUBSTITUTE(Table1[[#This Row],[Nama_Toko]],"""","")))</f>
        <v>Toko Damai Abadi</v>
      </c>
      <c r="P142" s="3" t="str">
        <f>PROPER(TRIM(Table1[[#This Row],[Kategori_Produk]]))</f>
        <v>Makanan</v>
      </c>
      <c r="Q142" t="str">
        <f>PROPER(TRIM(Table1[Nama Produk]))</f>
        <v>Garam Meja Beryodium</v>
      </c>
      <c r="R142">
        <f>Table1[[#This Row],[Qty]]</f>
        <v>10</v>
      </c>
      <c r="S142" t="str">
        <f>SUBSTITUTE(SUBSTITUTE(Table1[[#This Row],[Harga_Satuan]],"Rp.",""),".","")</f>
        <v>3000</v>
      </c>
      <c r="T142">
        <f>Table1[[#This Row],[Total_Penjualan]]</f>
        <v>30000</v>
      </c>
      <c r="U142" t="str">
        <f>PROPER(Table1[[#This Row],[Kota]])</f>
        <v>Yogyakarta</v>
      </c>
      <c r="V142" t="str">
        <f>PROPER(Table1[[#This Row],[Metode_Pembayaran]])</f>
        <v>Tunai</v>
      </c>
    </row>
    <row r="143" spans="1:22" x14ac:dyDescent="0.25">
      <c r="A143" s="8" t="s">
        <v>1432</v>
      </c>
      <c r="B143" s="5" t="s">
        <v>507</v>
      </c>
      <c r="C143" s="5" t="s">
        <v>1107</v>
      </c>
      <c r="D143" s="5" t="s">
        <v>19</v>
      </c>
      <c r="E143" s="5" t="s">
        <v>508</v>
      </c>
      <c r="F143" s="5">
        <v>2</v>
      </c>
      <c r="G143" s="5">
        <v>40000</v>
      </c>
      <c r="H143" s="5">
        <v>80000</v>
      </c>
      <c r="I143" s="5" t="s">
        <v>996</v>
      </c>
      <c r="J143" s="6" t="s">
        <v>884</v>
      </c>
      <c r="M143" s="10">
        <f>DATEVALUE(SUBSTITUTE(SUBSTITUTE(SUBSTITUTE(SUBSTITUTE(SUBSTITUTE(SUBSTITUTE(SUBSTITUTE(SUBSTITUTE(SUBSTITUTE(SUBSTITUTE(SUBSTITUTE(SUBSTITUTE(Table1[[#This Row],[Tanggal]],"Jan", "Jan"),"Feb","Feb"),"Mar","Mar"),"Apr","Apr"),"Mei","May"),"Jun","Jun"),"Jul","Jul"),"Agu","Aug"),"Sep","Sep"),"Okt","Oct"),"Nov","Nov"),"Des","Dec"))</f>
        <v>46300</v>
      </c>
      <c r="N143" t="str">
        <f>Table1[[#This Row],[ID_Transaksi]]</f>
        <v>TRX-1142</v>
      </c>
      <c r="O143" s="5" t="str">
        <f>PROPER(TRIM(SUBSTITUTE(Table1[[#This Row],[Nama_Toko]],"""","")))</f>
        <v>Grosir Tani</v>
      </c>
      <c r="P143" s="3" t="str">
        <f>PROPER(TRIM(Table1[[#This Row],[Kategori_Produk]]))</f>
        <v>Minuman</v>
      </c>
      <c r="Q143" t="str">
        <f>PROPER(TRIM(Table1[Nama Produk]))</f>
        <v>Susu Bubuk Coklat Kotak</v>
      </c>
      <c r="R143">
        <f>Table1[[#This Row],[Qty]]</f>
        <v>2</v>
      </c>
      <c r="S143" t="str">
        <f>SUBSTITUTE(SUBSTITUTE(Table1[[#This Row],[Harga_Satuan]],"Rp.",""),".","")</f>
        <v>40000</v>
      </c>
      <c r="T143">
        <f>Table1[[#This Row],[Total_Penjualan]]</f>
        <v>80000</v>
      </c>
      <c r="U143" t="str">
        <f>PROPER(Table1[[#This Row],[Kota]])</f>
        <v>Malang</v>
      </c>
      <c r="V143" t="str">
        <f>PROPER(Table1[[#This Row],[Metode_Pembayaran]])</f>
        <v>Kartu Debit</v>
      </c>
    </row>
    <row r="144" spans="1:22" x14ac:dyDescent="0.25">
      <c r="A144" s="7" t="s">
        <v>1103</v>
      </c>
      <c r="B144" s="3" t="s">
        <v>510</v>
      </c>
      <c r="C144" s="3" t="s">
        <v>1108</v>
      </c>
      <c r="D144" s="3" t="s">
        <v>886</v>
      </c>
      <c r="E144" s="3" t="s">
        <v>512</v>
      </c>
      <c r="F144" s="3">
        <v>1</v>
      </c>
      <c r="G144" s="3">
        <v>450000</v>
      </c>
      <c r="H144" s="3">
        <v>450000</v>
      </c>
      <c r="I144" s="3" t="s">
        <v>21</v>
      </c>
      <c r="J144" s="4" t="s">
        <v>888</v>
      </c>
      <c r="M144" s="10">
        <f>DATEVALUE(SUBSTITUTE(SUBSTITUTE(SUBSTITUTE(SUBSTITUTE(SUBSTITUTE(SUBSTITUTE(SUBSTITUTE(SUBSTITUTE(SUBSTITUTE(SUBSTITUTE(SUBSTITUTE(SUBSTITUTE(Table1[[#This Row],[Tanggal]],"Jan", "Jan"),"Feb","Feb"),"Mar","Mar"),"Apr","Apr"),"Mei","May"),"Jun","Jun"),"Jul","Jul"),"Agu","Aug"),"Sep","Sep"),"Okt","Oct"),"Nov","Nov"),"Des","Dec"))</f>
        <v>46310</v>
      </c>
      <c r="N144" t="str">
        <f>Table1[[#This Row],[ID_Transaksi]]</f>
        <v>INV-1143</v>
      </c>
      <c r="O144" s="5" t="str">
        <f>PROPER(TRIM(SUBSTITUTE(Table1[[#This Row],[Nama_Toko]],"""","")))</f>
        <v>Warung Tengah</v>
      </c>
      <c r="P144" s="3" t="str">
        <f>PROPER(TRIM(Table1[[#This Row],[Kategori_Produk]]))</f>
        <v>Elektronik</v>
      </c>
      <c r="Q144" t="str">
        <f>PROPER(TRIM(Table1[Nama Produk]))</f>
        <v>Power Supply Komputer</v>
      </c>
      <c r="R144">
        <f>Table1[[#This Row],[Qty]]</f>
        <v>1</v>
      </c>
      <c r="S144" t="str">
        <f>SUBSTITUTE(SUBSTITUTE(Table1[[#This Row],[Harga_Satuan]],"Rp.",""),".","")</f>
        <v>450000</v>
      </c>
      <c r="T144">
        <f>Table1[[#This Row],[Total_Penjualan]]</f>
        <v>450000</v>
      </c>
      <c r="U144" t="str">
        <f>PROPER(Table1[[#This Row],[Kota]])</f>
        <v>Bandung</v>
      </c>
      <c r="V144" t="str">
        <f>PROPER(Table1[[#This Row],[Metode_Pembayaran]])</f>
        <v>Kartu Kredit</v>
      </c>
    </row>
    <row r="145" spans="1:22" x14ac:dyDescent="0.25">
      <c r="A145" s="8" t="s">
        <v>1433</v>
      </c>
      <c r="B145" s="5" t="s">
        <v>514</v>
      </c>
      <c r="C145" s="5" t="s">
        <v>1109</v>
      </c>
      <c r="D145" s="5" t="s">
        <v>890</v>
      </c>
      <c r="E145" s="5" t="s">
        <v>515</v>
      </c>
      <c r="F145" s="5">
        <v>3</v>
      </c>
      <c r="G145" s="5">
        <v>35000</v>
      </c>
      <c r="H145" s="5">
        <v>105000</v>
      </c>
      <c r="I145" s="5" t="s">
        <v>919</v>
      </c>
      <c r="J145" s="6" t="s">
        <v>893</v>
      </c>
      <c r="M145" s="10">
        <f>DATEVALUE(SUBSTITUTE(SUBSTITUTE(SUBSTITUTE(SUBSTITUTE(SUBSTITUTE(SUBSTITUTE(SUBSTITUTE(SUBSTITUTE(SUBSTITUTE(SUBSTITUTE(SUBSTITUTE(SUBSTITUTE(Table1[[#This Row],[Tanggal]],"Jan", "Jan"),"Feb","Feb"),"Mar","Mar"),"Apr","Apr"),"Mei","May"),"Jun","Jun"),"Jul","Jul"),"Agu","Aug"),"Sep","Sep"),"Okt","Oct"),"Nov","Nov"),"Des","Dec"))</f>
        <v>46320</v>
      </c>
      <c r="N145" t="str">
        <f>Table1[[#This Row],[ID_Transaksi]]</f>
        <v>TRX-1144</v>
      </c>
      <c r="O145" s="5" t="str">
        <f>PROPER(TRIM(SUBSTITUTE(Table1[[#This Row],[Nama_Toko]],"""","")))</f>
        <v>Gudang Rahmat</v>
      </c>
      <c r="P145" s="3" t="str">
        <f>PROPER(TRIM(Table1[[#This Row],[Kategori_Produk]]))</f>
        <v>Kecantikan</v>
      </c>
      <c r="Q145" t="str">
        <f>PROPER(TRIM(Table1[Nama Produk]))</f>
        <v>Body Scrub Aromaterapi</v>
      </c>
      <c r="R145">
        <f>Table1[[#This Row],[Qty]]</f>
        <v>3</v>
      </c>
      <c r="S145" t="str">
        <f>SUBSTITUTE(SUBSTITUTE(Table1[[#This Row],[Harga_Satuan]],"Rp.",""),".","")</f>
        <v>35000</v>
      </c>
      <c r="T145">
        <f>Table1[[#This Row],[Total_Penjualan]]</f>
        <v>105000</v>
      </c>
      <c r="U145" t="str">
        <f>PROPER(Table1[[#This Row],[Kota]])</f>
        <v>Semarang</v>
      </c>
      <c r="V145" t="str">
        <f>PROPER(Table1[[#This Row],[Metode_Pembayaran]])</f>
        <v>Tunai</v>
      </c>
    </row>
    <row r="146" spans="1:22" x14ac:dyDescent="0.25">
      <c r="A146" s="7" t="s">
        <v>1434</v>
      </c>
      <c r="B146" s="3" t="s">
        <v>516</v>
      </c>
      <c r="C146" s="3" t="s">
        <v>1111</v>
      </c>
      <c r="D146" s="3" t="s">
        <v>895</v>
      </c>
      <c r="E146" s="3" t="s">
        <v>1112</v>
      </c>
      <c r="F146" s="3">
        <v>5</v>
      </c>
      <c r="G146" s="3">
        <v>28000</v>
      </c>
      <c r="H146" s="3">
        <v>140000</v>
      </c>
      <c r="I146" s="3" t="s">
        <v>28</v>
      </c>
      <c r="J146" s="4" t="s">
        <v>884</v>
      </c>
      <c r="M146" s="10">
        <f>DATEVALUE(SUBSTITUTE(SUBSTITUTE(SUBSTITUTE(SUBSTITUTE(SUBSTITUTE(SUBSTITUTE(SUBSTITUTE(SUBSTITUTE(SUBSTITUTE(SUBSTITUTE(SUBSTITUTE(SUBSTITUTE(Table1[[#This Row],[Tanggal]],"Jan", "Jan"),"Feb","Feb"),"Mar","Mar"),"Apr","Apr"),"Mei","May"),"Jun","Jun"),"Jul","Jul"),"Agu","Aug"),"Sep","Sep"),"Okt","Oct"),"Nov","Nov"),"Des","Dec"))</f>
        <v>46327</v>
      </c>
      <c r="N146" t="str">
        <f>Table1[[#This Row],[ID_Transaksi]]</f>
        <v>INV-1145</v>
      </c>
      <c r="O146" s="5" t="str">
        <f>PROPER(TRIM(SUBSTITUTE(Table1[[#This Row],[Nama_Toko]],"""","")))</f>
        <v>Toko Istana</v>
      </c>
      <c r="P146" s="3" t="str">
        <f>PROPER(TRIM(Table1[[#This Row],[Kategori_Produk]]))</f>
        <v>Makanan</v>
      </c>
      <c r="Q146" t="str">
        <f>PROPER(TRIM(Table1[Nama Produk]))</f>
        <v>Coklat Bubuk Murni</v>
      </c>
      <c r="R146">
        <f>Table1[[#This Row],[Qty]]</f>
        <v>5</v>
      </c>
      <c r="S146" t="str">
        <f>SUBSTITUTE(SUBSTITUTE(Table1[[#This Row],[Harga_Satuan]],"Rp.",""),".","")</f>
        <v>28000</v>
      </c>
      <c r="T146">
        <f>Table1[[#This Row],[Total_Penjualan]]</f>
        <v>140000</v>
      </c>
      <c r="U146" t="str">
        <f>PROPER(Table1[[#This Row],[Kota]])</f>
        <v>Surabaya</v>
      </c>
      <c r="V146" t="str">
        <f>PROPER(Table1[[#This Row],[Metode_Pembayaran]])</f>
        <v>Kartu Debit</v>
      </c>
    </row>
    <row r="147" spans="1:22" x14ac:dyDescent="0.25">
      <c r="A147" s="8" t="s">
        <v>1435</v>
      </c>
      <c r="B147" s="5" t="s">
        <v>519</v>
      </c>
      <c r="C147" s="5" t="s">
        <v>1113</v>
      </c>
      <c r="D147" s="5" t="s">
        <v>43</v>
      </c>
      <c r="E147" s="5" t="s">
        <v>520</v>
      </c>
      <c r="F147" s="5">
        <v>1</v>
      </c>
      <c r="G147" s="5">
        <v>600000</v>
      </c>
      <c r="H147" s="5">
        <v>600000</v>
      </c>
      <c r="I147" s="5" t="s">
        <v>937</v>
      </c>
      <c r="J147" s="6" t="s">
        <v>880</v>
      </c>
      <c r="M147" s="10">
        <f>DATEVALUE(SUBSTITUTE(SUBSTITUTE(SUBSTITUTE(SUBSTITUTE(SUBSTITUTE(SUBSTITUTE(SUBSTITUTE(SUBSTITUTE(SUBSTITUTE(SUBSTITUTE(SUBSTITUTE(SUBSTITUTE(Table1[[#This Row],[Tanggal]],"Jan", "Jan"),"Feb","Feb"),"Mar","Mar"),"Apr","Apr"),"Mei","May"),"Jun","Jun"),"Jul","Jul"),"Agu","Aug"),"Sep","Sep"),"Okt","Oct"),"Nov","Nov"),"Des","Dec"))</f>
        <v>46336</v>
      </c>
      <c r="N147" t="str">
        <f>Table1[[#This Row],[ID_Transaksi]]</f>
        <v>TRX-1146</v>
      </c>
      <c r="O147" s="5" t="str">
        <f>PROPER(TRIM(SUBSTITUTE(Table1[[#This Row],[Nama_Toko]],"""","")))</f>
        <v>Pasar Kilat</v>
      </c>
      <c r="P147" s="3" t="str">
        <f>PROPER(TRIM(Table1[[#This Row],[Kategori_Produk]]))</f>
        <v>Pakaian</v>
      </c>
      <c r="Q147" t="str">
        <f>PROPER(TRIM(Table1[Nama Produk]))</f>
        <v>Jaket Gunung Anti Air</v>
      </c>
      <c r="R147">
        <f>Table1[[#This Row],[Qty]]</f>
        <v>1</v>
      </c>
      <c r="S147" t="str">
        <f>SUBSTITUTE(SUBSTITUTE(Table1[[#This Row],[Harga_Satuan]],"Rp.",""),".","")</f>
        <v>600000</v>
      </c>
      <c r="T147">
        <f>Table1[[#This Row],[Total_Penjualan]]</f>
        <v>600000</v>
      </c>
      <c r="U147" t="str">
        <f>PROPER(Table1[[#This Row],[Kota]])</f>
        <v>Depok</v>
      </c>
      <c r="V147" t="str">
        <f>PROPER(Table1[[#This Row],[Metode_Pembayaran]])</f>
        <v>Tunai</v>
      </c>
    </row>
    <row r="148" spans="1:22" x14ac:dyDescent="0.25">
      <c r="A148" s="7" t="s">
        <v>1436</v>
      </c>
      <c r="B148" s="3" t="s">
        <v>522</v>
      </c>
      <c r="C148" s="3" t="s">
        <v>1114</v>
      </c>
      <c r="D148" s="3" t="s">
        <v>901</v>
      </c>
      <c r="E148" s="3" t="s">
        <v>523</v>
      </c>
      <c r="F148" s="3">
        <v>2</v>
      </c>
      <c r="G148" s="3">
        <v>70000</v>
      </c>
      <c r="H148" s="3">
        <v>140000</v>
      </c>
      <c r="I148" s="3" t="s">
        <v>968</v>
      </c>
      <c r="J148" s="4" t="s">
        <v>29</v>
      </c>
      <c r="M148" s="10">
        <f>DATEVALUE(SUBSTITUTE(SUBSTITUTE(SUBSTITUTE(SUBSTITUTE(SUBSTITUTE(SUBSTITUTE(SUBSTITUTE(SUBSTITUTE(SUBSTITUTE(SUBSTITUTE(SUBSTITUTE(SUBSTITUTE(Table1[[#This Row],[Tanggal]],"Jan", "Jan"),"Feb","Feb"),"Mar","Mar"),"Apr","Apr"),"Mei","May"),"Jun","Jun"),"Jul","Jul"),"Agu","Aug"),"Sep","Sep"),"Okt","Oct"),"Nov","Nov"),"Des","Dec"))</f>
        <v>46346</v>
      </c>
      <c r="N148" t="str">
        <f>Table1[[#This Row],[ID_Transaksi]]</f>
        <v>INV-1147</v>
      </c>
      <c r="O148" s="5" t="str">
        <f>PROPER(TRIM(SUBSTITUTE(Table1[[#This Row],[Nama_Toko]],"""","")))</f>
        <v>Minimarket Hemat</v>
      </c>
      <c r="P148" s="3" t="str">
        <f>PROPER(TRIM(Table1[[#This Row],[Kategori_Produk]]))</f>
        <v>Mainan</v>
      </c>
      <c r="Q148" t="str">
        <f>PROPER(TRIM(Table1[Nama Produk]))</f>
        <v>Papan Dart Magnetik</v>
      </c>
      <c r="R148">
        <f>Table1[[#This Row],[Qty]]</f>
        <v>2</v>
      </c>
      <c r="S148" t="str">
        <f>SUBSTITUTE(SUBSTITUTE(Table1[[#This Row],[Harga_Satuan]],"Rp.",""),".","")</f>
        <v>70000</v>
      </c>
      <c r="T148">
        <f>Table1[[#This Row],[Total_Penjualan]]</f>
        <v>140000</v>
      </c>
      <c r="U148" t="str">
        <f>PROPER(Table1[[#This Row],[Kota]])</f>
        <v>Jakarta Selatan</v>
      </c>
      <c r="V148" t="str">
        <f>PROPER(Table1[[#This Row],[Metode_Pembayaran]])</f>
        <v>Kartu Kredit</v>
      </c>
    </row>
    <row r="149" spans="1:22" x14ac:dyDescent="0.25">
      <c r="A149" s="8" t="s">
        <v>1437</v>
      </c>
      <c r="B149" s="5" t="s">
        <v>524</v>
      </c>
      <c r="C149" s="5" t="s">
        <v>1115</v>
      </c>
      <c r="D149" s="5" t="s">
        <v>12</v>
      </c>
      <c r="E149" s="5" t="s">
        <v>526</v>
      </c>
      <c r="F149" s="5">
        <v>18</v>
      </c>
      <c r="G149" s="5">
        <v>5000</v>
      </c>
      <c r="H149" s="5">
        <v>90000</v>
      </c>
      <c r="I149" s="5" t="s">
        <v>915</v>
      </c>
      <c r="J149" s="6" t="s">
        <v>893</v>
      </c>
      <c r="M149" s="10">
        <f>DATEVALUE(SUBSTITUTE(SUBSTITUTE(SUBSTITUTE(SUBSTITUTE(SUBSTITUTE(SUBSTITUTE(SUBSTITUTE(SUBSTITUTE(SUBSTITUTE(SUBSTITUTE(SUBSTITUTE(SUBSTITUTE(Table1[[#This Row],[Tanggal]],"Jan", "Jan"),"Feb","Feb"),"Mar","Mar"),"Apr","Apr"),"Mei","May"),"Jun","Jun"),"Jul","Jul"),"Agu","Aug"),"Sep","Sep"),"Okt","Oct"),"Nov","Nov"),"Des","Dec"))</f>
        <v>46357</v>
      </c>
      <c r="N149" t="str">
        <f>Table1[[#This Row],[ID_Transaksi]]</f>
        <v>TRX-1148</v>
      </c>
      <c r="O149" s="5" t="str">
        <f>PROPER(TRIM(SUBSTITUTE(Table1[[#This Row],[Nama_Toko]],"""","")))</f>
        <v>Toko Sahabat</v>
      </c>
      <c r="P149" s="3" t="str">
        <f>PROPER(TRIM(Table1[[#This Row],[Kategori_Produk]]))</f>
        <v>Makanan</v>
      </c>
      <c r="Q149" t="str">
        <f>PROPER(TRIM(Table1[Nama Produk]))</f>
        <v>Permen Karet Mint</v>
      </c>
      <c r="R149">
        <f>Table1[[#This Row],[Qty]]</f>
        <v>18</v>
      </c>
      <c r="S149" t="str">
        <f>SUBSTITUTE(SUBSTITUTE(Table1[[#This Row],[Harga_Satuan]],"Rp.",""),".","")</f>
        <v>5000</v>
      </c>
      <c r="T149">
        <f>Table1[[#This Row],[Total_Penjualan]]</f>
        <v>90000</v>
      </c>
      <c r="U149" t="str">
        <f>PROPER(Table1[[#This Row],[Kota]])</f>
        <v>Medan</v>
      </c>
      <c r="V149" t="str">
        <f>PROPER(Table1[[#This Row],[Metode_Pembayaran]])</f>
        <v>Tunai</v>
      </c>
    </row>
    <row r="150" spans="1:22" x14ac:dyDescent="0.25">
      <c r="A150" s="7" t="s">
        <v>1110</v>
      </c>
      <c r="B150" s="3" t="s">
        <v>527</v>
      </c>
      <c r="C150" s="3" t="s">
        <v>1116</v>
      </c>
      <c r="D150" s="3" t="s">
        <v>19</v>
      </c>
      <c r="E150" s="3" t="s">
        <v>528</v>
      </c>
      <c r="F150" s="3">
        <v>8</v>
      </c>
      <c r="G150" s="3">
        <v>11000</v>
      </c>
      <c r="H150" s="3">
        <v>88000</v>
      </c>
      <c r="I150" s="3" t="s">
        <v>913</v>
      </c>
      <c r="J150" s="4" t="s">
        <v>884</v>
      </c>
      <c r="M150" s="10">
        <f>DATEVALUE(SUBSTITUTE(SUBSTITUTE(SUBSTITUTE(SUBSTITUTE(SUBSTITUTE(SUBSTITUTE(SUBSTITUTE(SUBSTITUTE(SUBSTITUTE(SUBSTITUTE(SUBSTITUTE(SUBSTITUTE(Table1[[#This Row],[Tanggal]],"Jan", "Jan"),"Feb","Feb"),"Mar","Mar"),"Apr","Apr"),"Mei","May"),"Jun","Jun"),"Jul","Jul"),"Agu","Aug"),"Sep","Sep"),"Okt","Oct"),"Nov","Nov"),"Des","Dec"))</f>
        <v>46371</v>
      </c>
      <c r="N150" t="str">
        <f>Table1[[#This Row],[ID_Transaksi]]</f>
        <v>INV-1149</v>
      </c>
      <c r="O150" s="5" t="str">
        <f>PROPER(TRIM(SUBSTITUTE(Table1[[#This Row],[Nama_Toko]],"""","")))</f>
        <v>Grosir Dunia</v>
      </c>
      <c r="P150" s="3" t="str">
        <f>PROPER(TRIM(Table1[[#This Row],[Kategori_Produk]]))</f>
        <v>Minuman</v>
      </c>
      <c r="Q150" t="str">
        <f>PROPER(TRIM(Table1[Nama Produk]))</f>
        <v>Air Minum Berkarbonasi</v>
      </c>
      <c r="R150">
        <f>Table1[[#This Row],[Qty]]</f>
        <v>8</v>
      </c>
      <c r="S150" t="str">
        <f>SUBSTITUTE(SUBSTITUTE(Table1[[#This Row],[Harga_Satuan]],"Rp.",""),".","")</f>
        <v>11000</v>
      </c>
      <c r="T150">
        <f>Table1[[#This Row],[Total_Penjualan]]</f>
        <v>88000</v>
      </c>
      <c r="U150" t="str">
        <f>PROPER(Table1[[#This Row],[Kota]])</f>
        <v>Yogyakarta</v>
      </c>
      <c r="V150" t="str">
        <f>PROPER(Table1[[#This Row],[Metode_Pembayaran]])</f>
        <v>Kartu Debit</v>
      </c>
    </row>
    <row r="151" spans="1:22" x14ac:dyDescent="0.25">
      <c r="A151" s="8" t="s">
        <v>1438</v>
      </c>
      <c r="B151" s="5" t="s">
        <v>529</v>
      </c>
      <c r="C151" s="5" t="s">
        <v>1117</v>
      </c>
      <c r="D151" s="5" t="s">
        <v>886</v>
      </c>
      <c r="E151" s="5" t="s">
        <v>1118</v>
      </c>
      <c r="F151" s="5">
        <v>1</v>
      </c>
      <c r="G151" s="5">
        <v>250000</v>
      </c>
      <c r="H151" s="5">
        <v>250000</v>
      </c>
      <c r="I151" s="5" t="s">
        <v>960</v>
      </c>
      <c r="J151" s="6" t="s">
        <v>888</v>
      </c>
      <c r="M151" s="10">
        <f>DATEVALUE(SUBSTITUTE(SUBSTITUTE(SUBSTITUTE(SUBSTITUTE(SUBSTITUTE(SUBSTITUTE(SUBSTITUTE(SUBSTITUTE(SUBSTITUTE(SUBSTITUTE(SUBSTITUTE(SUBSTITUTE(Table1[[#This Row],[Tanggal]],"Jan", "Jan"),"Feb","Feb"),"Mar","Mar"),"Apr","Apr"),"Mei","May"),"Jun","Jun"),"Jul","Jul"),"Agu","Aug"),"Sep","Sep"),"Okt","Oct"),"Nov","Nov"),"Des","Dec"))</f>
        <v>46381</v>
      </c>
      <c r="N151" t="str">
        <f>Table1[[#This Row],[ID_Transaksi]]</f>
        <v>TRX-1150</v>
      </c>
      <c r="O151" s="5" t="str">
        <f>PROPER(TRIM(SUBSTITUTE(Table1[[#This Row],[Nama_Toko]],"""","")))</f>
        <v>Warung Jasa</v>
      </c>
      <c r="P151" s="3" t="str">
        <f>PROPER(TRIM(Table1[[#This Row],[Kategori_Produk]]))</f>
        <v>Elektronik</v>
      </c>
      <c r="Q151" t="str">
        <f>PROPER(TRIM(Table1[Nama Produk]))</f>
        <v>Kamera Cctv Indoor</v>
      </c>
      <c r="R151">
        <f>Table1[[#This Row],[Qty]]</f>
        <v>1</v>
      </c>
      <c r="S151" t="str">
        <f>SUBSTITUTE(SUBSTITUTE(Table1[[#This Row],[Harga_Satuan]],"Rp.",""),".","")</f>
        <v>250000</v>
      </c>
      <c r="T151">
        <f>Table1[[#This Row],[Total_Penjualan]]</f>
        <v>250000</v>
      </c>
      <c r="U151" t="str">
        <f>PROPER(Table1[[#This Row],[Kota]])</f>
        <v>Malang</v>
      </c>
      <c r="V151" t="str">
        <f>PROPER(Table1[[#This Row],[Metode_Pembayaran]])</f>
        <v>Kartu Kredit</v>
      </c>
    </row>
    <row r="152" spans="1:22" x14ac:dyDescent="0.25">
      <c r="A152" s="7" t="s">
        <v>1439</v>
      </c>
      <c r="B152" s="3" t="s">
        <v>532</v>
      </c>
      <c r="C152" s="3" t="s">
        <v>1119</v>
      </c>
      <c r="D152" s="3" t="s">
        <v>890</v>
      </c>
      <c r="E152" s="3" t="s">
        <v>533</v>
      </c>
      <c r="F152" s="3">
        <v>1</v>
      </c>
      <c r="G152" s="3">
        <v>120000</v>
      </c>
      <c r="H152" s="3">
        <v>120000</v>
      </c>
      <c r="I152" s="3" t="s">
        <v>883</v>
      </c>
      <c r="J152" s="4" t="s">
        <v>893</v>
      </c>
      <c r="M152" s="10">
        <f>DATEVALUE(SUBSTITUTE(SUBSTITUTE(SUBSTITUTE(SUBSTITUTE(SUBSTITUTE(SUBSTITUTE(SUBSTITUTE(SUBSTITUTE(SUBSTITUTE(SUBSTITUTE(SUBSTITUTE(SUBSTITUTE(Table1[[#This Row],[Tanggal]],"Jan", "Jan"),"Feb","Feb"),"Mar","Mar"),"Apr","Apr"),"Mei","May"),"Jun","Jun"),"Jul","Jul"),"Agu","Aug"),"Sep","Sep"),"Okt","Oct"),"Nov","Nov"),"Des","Dec"))</f>
        <v>46392</v>
      </c>
      <c r="N152" t="str">
        <f>Table1[[#This Row],[ID_Transaksi]]</f>
        <v>INV-1151</v>
      </c>
      <c r="O152" s="5" t="str">
        <f>PROPER(TRIM(SUBSTITUTE(Table1[[#This Row],[Nama_Toko]],"""","")))</f>
        <v>Gudang Barokah</v>
      </c>
      <c r="P152" s="3" t="str">
        <f>PROPER(TRIM(Table1[[#This Row],[Kategori_Produk]]))</f>
        <v>Kecantikan</v>
      </c>
      <c r="Q152" t="str">
        <f>PROPER(TRIM(Table1[Nama Produk]))</f>
        <v>Alat Pengeriting Rambut</v>
      </c>
      <c r="R152">
        <f>Table1[[#This Row],[Qty]]</f>
        <v>1</v>
      </c>
      <c r="S152" t="str">
        <f>SUBSTITUTE(SUBSTITUTE(Table1[[#This Row],[Harga_Satuan]],"Rp.",""),".","")</f>
        <v>120000</v>
      </c>
      <c r="T152">
        <f>Table1[[#This Row],[Total_Penjualan]]</f>
        <v>120000</v>
      </c>
      <c r="U152" t="str">
        <f>PROPER(Table1[[#This Row],[Kota]])</f>
        <v>Bandung</v>
      </c>
      <c r="V152" t="str">
        <f>PROPER(Table1[[#This Row],[Metode_Pembayaran]])</f>
        <v>Tunai</v>
      </c>
    </row>
    <row r="153" spans="1:22" x14ac:dyDescent="0.25">
      <c r="A153" s="8" t="s">
        <v>1440</v>
      </c>
      <c r="B153" s="5" t="s">
        <v>534</v>
      </c>
      <c r="C153" s="5" t="s">
        <v>1120</v>
      </c>
      <c r="D153" s="5" t="s">
        <v>895</v>
      </c>
      <c r="E153" s="5" t="s">
        <v>1121</v>
      </c>
      <c r="F153" s="5">
        <v>5</v>
      </c>
      <c r="G153" s="5">
        <v>75000</v>
      </c>
      <c r="H153" s="5">
        <v>375000</v>
      </c>
      <c r="I153" s="5" t="s">
        <v>932</v>
      </c>
      <c r="J153" s="6" t="s">
        <v>884</v>
      </c>
      <c r="M153" s="10">
        <f>DATEVALUE(SUBSTITUTE(SUBSTITUTE(SUBSTITUTE(SUBSTITUTE(SUBSTITUTE(SUBSTITUTE(SUBSTITUTE(SUBSTITUTE(SUBSTITUTE(SUBSTITUTE(SUBSTITUTE(SUBSTITUTE(Table1[[#This Row],[Tanggal]],"Jan", "Jan"),"Feb","Feb"),"Mar","Mar"),"Apr","Apr"),"Mei","May"),"Jun","Jun"),"Jul","Jul"),"Agu","Aug"),"Sep","Sep"),"Okt","Oct"),"Nov","Nov"),"Des","Dec"))</f>
        <v>46402</v>
      </c>
      <c r="N153" t="str">
        <f>Table1[[#This Row],[ID_Transaksi]]</f>
        <v>TRX-1152</v>
      </c>
      <c r="O153" s="5" t="str">
        <f>PROPER(TRIM(SUBSTITUTE(Table1[[#This Row],[Nama_Toko]],"""","")))</f>
        <v>Toko Cemerlang</v>
      </c>
      <c r="P153" s="3" t="str">
        <f>PROPER(TRIM(Table1[[#This Row],[Kategori_Produk]]))</f>
        <v>Makanan</v>
      </c>
      <c r="Q153" t="str">
        <f>PROPER(TRIM(Table1[Nama Produk]))</f>
        <v>Beras Premium 5 Kg</v>
      </c>
      <c r="R153">
        <f>Table1[[#This Row],[Qty]]</f>
        <v>5</v>
      </c>
      <c r="S153" t="str">
        <f>SUBSTITUTE(SUBSTITUTE(Table1[[#This Row],[Harga_Satuan]],"Rp.",""),".","")</f>
        <v>75000</v>
      </c>
      <c r="T153">
        <f>Table1[[#This Row],[Total_Penjualan]]</f>
        <v>375000</v>
      </c>
      <c r="U153" t="str">
        <f>PROPER(Table1[[#This Row],[Kota]])</f>
        <v>Semarang</v>
      </c>
      <c r="V153" t="str">
        <f>PROPER(Table1[[#This Row],[Metode_Pembayaran]])</f>
        <v>Kartu Debit</v>
      </c>
    </row>
    <row r="154" spans="1:22" x14ac:dyDescent="0.25">
      <c r="A154" s="7" t="s">
        <v>1441</v>
      </c>
      <c r="B154" s="3" t="s">
        <v>538</v>
      </c>
      <c r="C154" s="3" t="s">
        <v>1122</v>
      </c>
      <c r="D154" s="3" t="s">
        <v>43</v>
      </c>
      <c r="E154" s="3" t="s">
        <v>539</v>
      </c>
      <c r="F154" s="3">
        <v>3</v>
      </c>
      <c r="G154" s="3">
        <v>90000</v>
      </c>
      <c r="H154" s="3">
        <v>270000</v>
      </c>
      <c r="I154" s="3" t="s">
        <v>965</v>
      </c>
      <c r="J154" s="4" t="s">
        <v>880</v>
      </c>
      <c r="M154" s="10">
        <f>DATEVALUE(SUBSTITUTE(SUBSTITUTE(SUBSTITUTE(SUBSTITUTE(SUBSTITUTE(SUBSTITUTE(SUBSTITUTE(SUBSTITUTE(SUBSTITUTE(SUBSTITUTE(SUBSTITUTE(SUBSTITUTE(Table1[[#This Row],[Tanggal]],"Jan", "Jan"),"Feb","Feb"),"Mar","Mar"),"Apr","Apr"),"Mei","May"),"Jun","Jun"),"Jul","Jul"),"Agu","Aug"),"Sep","Sep"),"Okt","Oct"),"Nov","Nov"),"Des","Dec"))</f>
        <v>46412</v>
      </c>
      <c r="N154" t="str">
        <f>Table1[[#This Row],[ID_Transaksi]]</f>
        <v>INV-1153</v>
      </c>
      <c r="O154" s="5" t="str">
        <f>PROPER(TRIM(SUBSTITUTE(Table1[[#This Row],[Nama_Toko]],"""","")))</f>
        <v>Pasar Kemayoran</v>
      </c>
      <c r="P154" s="3" t="str">
        <f>PROPER(TRIM(Table1[[#This Row],[Kategori_Produk]]))</f>
        <v>Pakaian</v>
      </c>
      <c r="Q154" t="str">
        <f>PROPER(TRIM(Table1[Nama Produk]))</f>
        <v>Kain Katun Jepang Meteran</v>
      </c>
      <c r="R154">
        <f>Table1[[#This Row],[Qty]]</f>
        <v>3</v>
      </c>
      <c r="S154" t="str">
        <f>SUBSTITUTE(SUBSTITUTE(Table1[[#This Row],[Harga_Satuan]],"Rp.",""),".","")</f>
        <v>90000</v>
      </c>
      <c r="T154">
        <f>Table1[[#This Row],[Total_Penjualan]]</f>
        <v>270000</v>
      </c>
      <c r="U154" t="str">
        <f>PROPER(Table1[[#This Row],[Kota]])</f>
        <v>Surabaya</v>
      </c>
      <c r="V154" t="str">
        <f>PROPER(Table1[[#This Row],[Metode_Pembayaran]])</f>
        <v>Tunai</v>
      </c>
    </row>
    <row r="155" spans="1:22" x14ac:dyDescent="0.25">
      <c r="A155" s="8" t="s">
        <v>1442</v>
      </c>
      <c r="B155" s="5" t="s">
        <v>540</v>
      </c>
      <c r="C155" s="5" t="s">
        <v>1123</v>
      </c>
      <c r="D155" s="5" t="s">
        <v>901</v>
      </c>
      <c r="E155" s="5" t="s">
        <v>541</v>
      </c>
      <c r="F155" s="5">
        <v>4</v>
      </c>
      <c r="G155" s="5">
        <v>40000</v>
      </c>
      <c r="H155" s="5">
        <v>160000</v>
      </c>
      <c r="I155" s="5" t="s">
        <v>937</v>
      </c>
      <c r="J155" s="6" t="s">
        <v>29</v>
      </c>
      <c r="M155" s="10">
        <f>DATEVALUE(SUBSTITUTE(SUBSTITUTE(SUBSTITUTE(SUBSTITUTE(SUBSTITUTE(SUBSTITUTE(SUBSTITUTE(SUBSTITUTE(SUBSTITUTE(SUBSTITUTE(SUBSTITUTE(SUBSTITUTE(Table1[[#This Row],[Tanggal]],"Jan", "Jan"),"Feb","Feb"),"Mar","Mar"),"Apr","Apr"),"Mei","May"),"Jun","Jun"),"Jul","Jul"),"Agu","Aug"),"Sep","Sep"),"Okt","Oct"),"Nov","Nov"),"Des","Dec"))</f>
        <v>46419</v>
      </c>
      <c r="N155" t="str">
        <f>Table1[[#This Row],[ID_Transaksi]]</f>
        <v>TRX-1154</v>
      </c>
      <c r="O155" s="5" t="str">
        <f>PROPER(TRIM(SUBSTITUTE(Table1[[#This Row],[Nama_Toko]],"""","")))</f>
        <v>Minimarket Bintang</v>
      </c>
      <c r="P155" s="3" t="str">
        <f>PROPER(TRIM(Table1[[#This Row],[Kategori_Produk]]))</f>
        <v>Mainan</v>
      </c>
      <c r="Q155" t="str">
        <f>PROPER(TRIM(Table1[Nama Produk]))</f>
        <v>Pesawat Terbang Mainan</v>
      </c>
      <c r="R155">
        <f>Table1[[#This Row],[Qty]]</f>
        <v>4</v>
      </c>
      <c r="S155" t="str">
        <f>SUBSTITUTE(SUBSTITUTE(Table1[[#This Row],[Harga_Satuan]],"Rp.",""),".","")</f>
        <v>40000</v>
      </c>
      <c r="T155">
        <f>Table1[[#This Row],[Total_Penjualan]]</f>
        <v>160000</v>
      </c>
      <c r="U155" t="str">
        <f>PROPER(Table1[[#This Row],[Kota]])</f>
        <v>Depok</v>
      </c>
      <c r="V155" t="str">
        <f>PROPER(Table1[[#This Row],[Metode_Pembayaran]])</f>
        <v>Kartu Kredit</v>
      </c>
    </row>
    <row r="156" spans="1:22" x14ac:dyDescent="0.25">
      <c r="A156" s="7" t="s">
        <v>1443</v>
      </c>
      <c r="B156" s="3" t="s">
        <v>542</v>
      </c>
      <c r="C156" s="3" t="s">
        <v>1124</v>
      </c>
      <c r="D156" s="3" t="s">
        <v>12</v>
      </c>
      <c r="E156" s="3" t="s">
        <v>544</v>
      </c>
      <c r="F156" s="3">
        <v>10</v>
      </c>
      <c r="G156" s="3">
        <v>14000</v>
      </c>
      <c r="H156" s="3">
        <v>140000</v>
      </c>
      <c r="I156" s="3" t="s">
        <v>968</v>
      </c>
      <c r="J156" s="4" t="s">
        <v>893</v>
      </c>
      <c r="M156" s="10">
        <f>DATEVALUE(SUBSTITUTE(SUBSTITUTE(SUBSTITUTE(SUBSTITUTE(SUBSTITUTE(SUBSTITUTE(SUBSTITUTE(SUBSTITUTE(SUBSTITUTE(SUBSTITUTE(SUBSTITUTE(SUBSTITUTE(Table1[[#This Row],[Tanggal]],"Jan", "Jan"),"Feb","Feb"),"Mar","Mar"),"Apr","Apr"),"Mei","May"),"Jun","Jun"),"Jul","Jul"),"Agu","Aug"),"Sep","Sep"),"Okt","Oct"),"Nov","Nov"),"Des","Dec"))</f>
        <v>46428</v>
      </c>
      <c r="N156" t="str">
        <f>Table1[[#This Row],[ID_Transaksi]]</f>
        <v>INV-1155</v>
      </c>
      <c r="O156" s="5" t="str">
        <f>PROPER(TRIM(SUBSTITUTE(Table1[[#This Row],[Nama_Toko]],"""","")))</f>
        <v>Toko Karya</v>
      </c>
      <c r="P156" s="3" t="str">
        <f>PROPER(TRIM(Table1[[#This Row],[Kategori_Produk]]))</f>
        <v>Makanan</v>
      </c>
      <c r="Q156" t="str">
        <f>PROPER(TRIM(Table1[Nama Produk]))</f>
        <v>Susu Kental Manis Kaleng</v>
      </c>
      <c r="R156">
        <f>Table1[[#This Row],[Qty]]</f>
        <v>10</v>
      </c>
      <c r="S156" t="str">
        <f>SUBSTITUTE(SUBSTITUTE(Table1[[#This Row],[Harga_Satuan]],"Rp.",""),".","")</f>
        <v>14000</v>
      </c>
      <c r="T156">
        <f>Table1[[#This Row],[Total_Penjualan]]</f>
        <v>140000</v>
      </c>
      <c r="U156" t="str">
        <f>PROPER(Table1[[#This Row],[Kota]])</f>
        <v>Jakarta Selatan</v>
      </c>
      <c r="V156" t="str">
        <f>PROPER(Table1[[#This Row],[Metode_Pembayaran]])</f>
        <v>Tunai</v>
      </c>
    </row>
    <row r="157" spans="1:22" x14ac:dyDescent="0.25">
      <c r="A157" s="8" t="s">
        <v>1444</v>
      </c>
      <c r="B157" s="5" t="s">
        <v>545</v>
      </c>
      <c r="C157" s="5" t="s">
        <v>1125</v>
      </c>
      <c r="D157" s="5" t="s">
        <v>19</v>
      </c>
      <c r="E157" s="5" t="s">
        <v>546</v>
      </c>
      <c r="F157" s="5">
        <v>25</v>
      </c>
      <c r="G157" s="5">
        <v>3000</v>
      </c>
      <c r="H157" s="5">
        <v>75000</v>
      </c>
      <c r="I157" s="5" t="s">
        <v>915</v>
      </c>
      <c r="J157" s="6" t="s">
        <v>884</v>
      </c>
      <c r="M157" s="10">
        <f>DATEVALUE(SUBSTITUTE(SUBSTITUTE(SUBSTITUTE(SUBSTITUTE(SUBSTITUTE(SUBSTITUTE(SUBSTITUTE(SUBSTITUTE(SUBSTITUTE(SUBSTITUTE(SUBSTITUTE(SUBSTITUTE(Table1[[#This Row],[Tanggal]],"Jan", "Jan"),"Feb","Feb"),"Mar","Mar"),"Apr","Apr"),"Mei","May"),"Jun","Jun"),"Jul","Jul"),"Agu","Aug"),"Sep","Sep"),"Okt","Oct"),"Nov","Nov"),"Des","Dec"))</f>
        <v>46438</v>
      </c>
      <c r="N157" t="str">
        <f>Table1[[#This Row],[ID_Transaksi]]</f>
        <v>TRX-1156</v>
      </c>
      <c r="O157" s="5" t="str">
        <f>PROPER(TRIM(SUBSTITUTE(Table1[[#This Row],[Nama_Toko]],"""","")))</f>
        <v>Grosir Sempurna</v>
      </c>
      <c r="P157" s="3" t="str">
        <f>PROPER(TRIM(Table1[[#This Row],[Kategori_Produk]]))</f>
        <v>Minuman</v>
      </c>
      <c r="Q157" t="str">
        <f>PROPER(TRIM(Table1[Nama Produk]))</f>
        <v>Kopi Hitam Instan Sachet</v>
      </c>
      <c r="R157">
        <f>Table1[[#This Row],[Qty]]</f>
        <v>25</v>
      </c>
      <c r="S157" t="str">
        <f>SUBSTITUTE(SUBSTITUTE(Table1[[#This Row],[Harga_Satuan]],"Rp.",""),".","")</f>
        <v>3000</v>
      </c>
      <c r="T157">
        <f>Table1[[#This Row],[Total_Penjualan]]</f>
        <v>75000</v>
      </c>
      <c r="U157" t="str">
        <f>PROPER(Table1[[#This Row],[Kota]])</f>
        <v>Medan</v>
      </c>
      <c r="V157" t="str">
        <f>PROPER(Table1[[#This Row],[Metode_Pembayaran]])</f>
        <v>Kartu Debit</v>
      </c>
    </row>
    <row r="158" spans="1:22" x14ac:dyDescent="0.25">
      <c r="A158" s="7" t="s">
        <v>1445</v>
      </c>
      <c r="B158" s="3" t="s">
        <v>548</v>
      </c>
      <c r="C158" s="3" t="s">
        <v>1126</v>
      </c>
      <c r="D158" s="3" t="s">
        <v>886</v>
      </c>
      <c r="E158" s="3" t="s">
        <v>550</v>
      </c>
      <c r="F158" s="3">
        <v>2</v>
      </c>
      <c r="G158" s="3">
        <v>200000</v>
      </c>
      <c r="H158" s="3">
        <v>400000</v>
      </c>
      <c r="I158" s="3" t="s">
        <v>913</v>
      </c>
      <c r="J158" s="4" t="s">
        <v>888</v>
      </c>
      <c r="M158" s="10">
        <f>DATEVALUE(SUBSTITUTE(SUBSTITUTE(SUBSTITUTE(SUBSTITUTE(SUBSTITUTE(SUBSTITUTE(SUBSTITUTE(SUBSTITUTE(SUBSTITUTE(SUBSTITUTE(SUBSTITUTE(SUBSTITUTE(Table1[[#This Row],[Tanggal]],"Jan", "Jan"),"Feb","Feb"),"Mar","Mar"),"Apr","Apr"),"Mei","May"),"Jun","Jun"),"Jul","Jul"),"Agu","Aug"),"Sep","Sep"),"Okt","Oct"),"Nov","Nov"),"Des","Dec"))</f>
        <v>46447</v>
      </c>
      <c r="N158" t="str">
        <f>Table1[[#This Row],[ID_Transaksi]]</f>
        <v>INV-1157</v>
      </c>
      <c r="O158" s="5" t="str">
        <f>PROPER(TRIM(SUBSTITUTE(Table1[[#This Row],[Nama_Toko]],"""","")))</f>
        <v>Warung Berkah</v>
      </c>
      <c r="P158" s="3" t="str">
        <f>PROPER(TRIM(Table1[[#This Row],[Kategori_Produk]]))</f>
        <v>Elektronik</v>
      </c>
      <c r="Q158" t="str">
        <f>PROPER(TRIM(Table1[Nama Produk]))</f>
        <v>Speaker Portabel Waterproof</v>
      </c>
      <c r="R158">
        <f>Table1[[#This Row],[Qty]]</f>
        <v>2</v>
      </c>
      <c r="S158" t="str">
        <f>SUBSTITUTE(SUBSTITUTE(Table1[[#This Row],[Harga_Satuan]],"Rp.",""),".","")</f>
        <v>200000</v>
      </c>
      <c r="T158">
        <f>Table1[[#This Row],[Total_Penjualan]]</f>
        <v>400000</v>
      </c>
      <c r="U158" t="str">
        <f>PROPER(Table1[[#This Row],[Kota]])</f>
        <v>Yogyakarta</v>
      </c>
      <c r="V158" t="str">
        <f>PROPER(Table1[[#This Row],[Metode_Pembayaran]])</f>
        <v>Kartu Kredit</v>
      </c>
    </row>
    <row r="159" spans="1:22" x14ac:dyDescent="0.25">
      <c r="A159" s="8" t="s">
        <v>1446</v>
      </c>
      <c r="B159" s="3" t="s">
        <v>552</v>
      </c>
      <c r="C159" s="5" t="s">
        <v>1127</v>
      </c>
      <c r="D159" s="5" t="s">
        <v>890</v>
      </c>
      <c r="E159" s="5" t="s">
        <v>1128</v>
      </c>
      <c r="F159" s="5">
        <v>3</v>
      </c>
      <c r="G159" s="5">
        <v>95000</v>
      </c>
      <c r="H159" s="5">
        <v>285000</v>
      </c>
      <c r="I159" s="5" t="s">
        <v>960</v>
      </c>
      <c r="J159" s="6" t="s">
        <v>893</v>
      </c>
      <c r="M159" s="10">
        <f>DATEVALUE(SUBSTITUTE(SUBSTITUTE(SUBSTITUTE(SUBSTITUTE(SUBSTITUTE(SUBSTITUTE(SUBSTITUTE(SUBSTITUTE(SUBSTITUTE(SUBSTITUTE(SUBSTITUTE(SUBSTITUTE(Table1[[#This Row],[Tanggal]],"Jan", "Jan"),"Feb","Feb"),"Mar","Mar"),"Apr","Apr"),"Mei","May"),"Jun","Jun"),"Jul","Jul"),"Agu","Aug"),"Sep","Sep"),"Okt","Oct"),"Nov","Nov"),"Des","Dec"))</f>
        <v>46461</v>
      </c>
      <c r="N159" t="str">
        <f>Table1[[#This Row],[ID_Transaksi]]</f>
        <v>INV-1158</v>
      </c>
      <c r="O159" s="5" t="str">
        <f>PROPER(TRIM(SUBSTITUTE(Table1[[#This Row],[Nama_Toko]],"""","")))</f>
        <v>Gudang Cepat</v>
      </c>
      <c r="P159" s="3" t="str">
        <f>PROPER(TRIM(Table1[[#This Row],[Kategori_Produk]]))</f>
        <v>Kecantikan</v>
      </c>
      <c r="Q159" t="str">
        <f>PROPER(TRIM(Table1[Nama Produk]))</f>
        <v>Sunscreen Spf 50+</v>
      </c>
      <c r="R159">
        <f>Table1[[#This Row],[Qty]]</f>
        <v>3</v>
      </c>
      <c r="S159" t="str">
        <f>SUBSTITUTE(SUBSTITUTE(Table1[[#This Row],[Harga_Satuan]],"Rp.",""),".","")</f>
        <v>95000</v>
      </c>
      <c r="T159">
        <f>Table1[[#This Row],[Total_Penjualan]]</f>
        <v>285000</v>
      </c>
      <c r="U159" t="str">
        <f>PROPER(Table1[[#This Row],[Kota]])</f>
        <v>Malang</v>
      </c>
      <c r="V159" t="str">
        <f>PROPER(Table1[[#This Row],[Metode_Pembayaran]])</f>
        <v>Tunai</v>
      </c>
    </row>
    <row r="160" spans="1:22" x14ac:dyDescent="0.25">
      <c r="A160" s="7" t="s">
        <v>1447</v>
      </c>
      <c r="B160" s="3" t="s">
        <v>554</v>
      </c>
      <c r="C160" s="3" t="s">
        <v>1129</v>
      </c>
      <c r="D160" s="3" t="s">
        <v>895</v>
      </c>
      <c r="E160" s="3" t="s">
        <v>1130</v>
      </c>
      <c r="F160" s="3">
        <v>8</v>
      </c>
      <c r="G160" s="3">
        <v>3500</v>
      </c>
      <c r="H160" s="3">
        <v>28000</v>
      </c>
      <c r="I160" s="3" t="s">
        <v>21</v>
      </c>
      <c r="J160" s="4" t="s">
        <v>884</v>
      </c>
      <c r="M160" s="10">
        <f>DATEVALUE(SUBSTITUTE(SUBSTITUTE(SUBSTITUTE(SUBSTITUTE(SUBSTITUTE(SUBSTITUTE(SUBSTITUTE(SUBSTITUTE(SUBSTITUTE(SUBSTITUTE(SUBSTITUTE(SUBSTITUTE(Table1[[#This Row],[Tanggal]],"Jan", "Jan"),"Feb","Feb"),"Mar","Mar"),"Apr","Apr"),"Mei","May"),"Jun","Jun"),"Jul","Jul"),"Agu","Aug"),"Sep","Sep"),"Okt","Oct"),"Nov","Nov"),"Des","Dec"))</f>
        <v>46471</v>
      </c>
      <c r="N160" t="str">
        <f>Table1[[#This Row],[ID_Transaksi]]</f>
        <v>INV-1159</v>
      </c>
      <c r="O160" s="5" t="str">
        <f>PROPER(TRIM(SUBSTITUTE(Table1[[#This Row],[Nama_Toko]],"""","")))</f>
        <v>Toko Maju Lancar</v>
      </c>
      <c r="P160" s="3" t="str">
        <f>PROPER(TRIM(Table1[[#This Row],[Kategori_Produk]]))</f>
        <v>Makanan</v>
      </c>
      <c r="Q160" t="str">
        <f>PROPER(TRIM(Table1[Nama Produk]))</f>
        <v>Mi Instan Kuah Pedas</v>
      </c>
      <c r="R160">
        <f>Table1[[#This Row],[Qty]]</f>
        <v>8</v>
      </c>
      <c r="S160" t="str">
        <f>SUBSTITUTE(SUBSTITUTE(Table1[[#This Row],[Harga_Satuan]],"Rp.",""),".","")</f>
        <v>3500</v>
      </c>
      <c r="T160">
        <f>Table1[[#This Row],[Total_Penjualan]]</f>
        <v>28000</v>
      </c>
      <c r="U160" t="str">
        <f>PROPER(Table1[[#This Row],[Kota]])</f>
        <v>Bandung</v>
      </c>
      <c r="V160" t="str">
        <f>PROPER(Table1[[#This Row],[Metode_Pembayaran]])</f>
        <v>Kartu Debit</v>
      </c>
    </row>
    <row r="161" spans="1:22" x14ac:dyDescent="0.25">
      <c r="A161" s="8" t="s">
        <v>1448</v>
      </c>
      <c r="B161" s="5" t="s">
        <v>558</v>
      </c>
      <c r="C161" s="5" t="s">
        <v>1132</v>
      </c>
      <c r="D161" s="5" t="s">
        <v>43</v>
      </c>
      <c r="E161" s="5" t="s">
        <v>559</v>
      </c>
      <c r="F161" s="5">
        <v>1</v>
      </c>
      <c r="G161" s="5">
        <v>60000</v>
      </c>
      <c r="H161" s="5">
        <v>60000</v>
      </c>
      <c r="I161" s="5" t="s">
        <v>932</v>
      </c>
      <c r="J161" s="6" t="s">
        <v>880</v>
      </c>
      <c r="M161" s="10">
        <f>DATEVALUE(SUBSTITUTE(SUBSTITUTE(SUBSTITUTE(SUBSTITUTE(SUBSTITUTE(SUBSTITUTE(SUBSTITUTE(SUBSTITUTE(SUBSTITUTE(SUBSTITUTE(SUBSTITUTE(SUBSTITUTE(Table1[[#This Row],[Tanggal]],"Jan", "Jan"),"Feb","Feb"),"Mar","Mar"),"Apr","Apr"),"Mei","May"),"Jun","Jun"),"Jul","Jul"),"Agu","Aug"),"Sep","Sep"),"Okt","Oct"),"Nov","Nov"),"Des","Dec"))</f>
        <v>46482</v>
      </c>
      <c r="N161" t="str">
        <f>Table1[[#This Row],[ID_Transaksi]]</f>
        <v>TRX-1160</v>
      </c>
      <c r="O161" s="5" t="str">
        <f>PROPER(TRIM(SUBSTITUTE(Table1[[#This Row],[Nama_Toko]],"""","")))</f>
        <v>Pasar Senja</v>
      </c>
      <c r="P161" s="3" t="str">
        <f>PROPER(TRIM(Table1[[#This Row],[Kategori_Produk]]))</f>
        <v>Pakaian</v>
      </c>
      <c r="Q161" t="str">
        <f>PROPER(TRIM(Table1[Nama Produk]))</f>
        <v>Topi Fedora Klasik</v>
      </c>
      <c r="R161">
        <f>Table1[[#This Row],[Qty]]</f>
        <v>1</v>
      </c>
      <c r="S161" t="str">
        <f>SUBSTITUTE(SUBSTITUTE(Table1[[#This Row],[Harga_Satuan]],"Rp.",""),".","")</f>
        <v>60000</v>
      </c>
      <c r="T161">
        <f>Table1[[#This Row],[Total_Penjualan]]</f>
        <v>60000</v>
      </c>
      <c r="U161" t="str">
        <f>PROPER(Table1[[#This Row],[Kota]])</f>
        <v>Semarang</v>
      </c>
      <c r="V161" t="str">
        <f>PROPER(Table1[[#This Row],[Metode_Pembayaran]])</f>
        <v>Tunai</v>
      </c>
    </row>
    <row r="162" spans="1:22" x14ac:dyDescent="0.25">
      <c r="A162" s="7" t="s">
        <v>1449</v>
      </c>
      <c r="B162" s="3" t="s">
        <v>561</v>
      </c>
      <c r="C162" s="3" t="s">
        <v>1133</v>
      </c>
      <c r="D162" s="3" t="s">
        <v>901</v>
      </c>
      <c r="E162" s="3" t="s">
        <v>562</v>
      </c>
      <c r="F162" s="3">
        <v>5</v>
      </c>
      <c r="G162" s="3">
        <v>75000</v>
      </c>
      <c r="H162" s="3">
        <v>375000</v>
      </c>
      <c r="I162" s="3" t="s">
        <v>28</v>
      </c>
      <c r="J162" s="4" t="s">
        <v>29</v>
      </c>
      <c r="M162" s="10">
        <f>DATEVALUE(SUBSTITUTE(SUBSTITUTE(SUBSTITUTE(SUBSTITUTE(SUBSTITUTE(SUBSTITUTE(SUBSTITUTE(SUBSTITUTE(SUBSTITUTE(SUBSTITUTE(SUBSTITUTE(SUBSTITUTE(Table1[[#This Row],[Tanggal]],"Jan", "Jan"),"Feb","Feb"),"Mar","Mar"),"Apr","Apr"),"Mei","May"),"Jun","Jun"),"Jul","Jul"),"Agu","Aug"),"Sep","Sep"),"Okt","Oct"),"Nov","Nov"),"Des","Dec"))</f>
        <v>46492</v>
      </c>
      <c r="N162" t="str">
        <f>Table1[[#This Row],[ID_Transaksi]]</f>
        <v>INV-1161</v>
      </c>
      <c r="O162" s="5" t="str">
        <f>PROPER(TRIM(SUBSTITUTE(Table1[[#This Row],[Nama_Toko]],"""","")))</f>
        <v>Minimarket Terdekat</v>
      </c>
      <c r="P162" s="3" t="str">
        <f>PROPER(TRIM(Table1[[#This Row],[Kategori_Produk]]))</f>
        <v>Mainan</v>
      </c>
      <c r="Q162" t="str">
        <f>PROPER(TRIM(Table1[Nama Produk]))</f>
        <v>Set Mainan Pertukangan</v>
      </c>
      <c r="R162">
        <f>Table1[[#This Row],[Qty]]</f>
        <v>5</v>
      </c>
      <c r="S162" t="str">
        <f>SUBSTITUTE(SUBSTITUTE(Table1[[#This Row],[Harga_Satuan]],"Rp.",""),".","")</f>
        <v>75000</v>
      </c>
      <c r="T162">
        <f>Table1[[#This Row],[Total_Penjualan]]</f>
        <v>375000</v>
      </c>
      <c r="U162" t="str">
        <f>PROPER(Table1[[#This Row],[Kota]])</f>
        <v>Surabaya</v>
      </c>
      <c r="V162" t="str">
        <f>PROPER(Table1[[#This Row],[Metode_Pembayaran]])</f>
        <v>Kartu Kredit</v>
      </c>
    </row>
    <row r="163" spans="1:22" x14ac:dyDescent="0.25">
      <c r="A163" s="8" t="s">
        <v>1450</v>
      </c>
      <c r="B163" s="5" t="s">
        <v>563</v>
      </c>
      <c r="C163" s="5" t="s">
        <v>1134</v>
      </c>
      <c r="D163" s="5" t="s">
        <v>12</v>
      </c>
      <c r="E163" s="5" t="s">
        <v>565</v>
      </c>
      <c r="F163" s="5">
        <v>10</v>
      </c>
      <c r="G163" s="5">
        <v>12000</v>
      </c>
      <c r="H163" s="5">
        <v>120000</v>
      </c>
      <c r="I163" s="5" t="s">
        <v>923</v>
      </c>
      <c r="J163" s="6" t="s">
        <v>893</v>
      </c>
      <c r="M163" s="10">
        <f>DATEVALUE(SUBSTITUTE(SUBSTITUTE(SUBSTITUTE(SUBSTITUTE(SUBSTITUTE(SUBSTITUTE(SUBSTITUTE(SUBSTITUTE(SUBSTITUTE(SUBSTITUTE(SUBSTITUTE(SUBSTITUTE(Table1[[#This Row],[Tanggal]],"Jan", "Jan"),"Feb","Feb"),"Mar","Mar"),"Apr","Apr"),"Mei","May"),"Jun","Jun"),"Jul","Jul"),"Agu","Aug"),"Sep","Sep"),"Okt","Oct"),"Nov","Nov"),"Des","Dec"))</f>
        <v>46502</v>
      </c>
      <c r="N163" t="str">
        <f>Table1[[#This Row],[ID_Transaksi]]</f>
        <v>TRX-1162</v>
      </c>
      <c r="O163" s="5" t="str">
        <f>PROPER(TRIM(SUBSTITUTE(Table1[[#This Row],[Nama_Toko]],"""","")))</f>
        <v>Toko Harum</v>
      </c>
      <c r="P163" s="3" t="str">
        <f>PROPER(TRIM(Table1[[#This Row],[Kategori_Produk]]))</f>
        <v>Makanan</v>
      </c>
      <c r="Q163" t="str">
        <f>PROPER(TRIM(Table1[Nama Produk]))</f>
        <v>Permen Mint Kaleng</v>
      </c>
      <c r="R163">
        <f>Table1[[#This Row],[Qty]]</f>
        <v>10</v>
      </c>
      <c r="S163" t="str">
        <f>SUBSTITUTE(SUBSTITUTE(Table1[[#This Row],[Harga_Satuan]],"Rp.",""),".","")</f>
        <v>12000</v>
      </c>
      <c r="T163">
        <f>Table1[[#This Row],[Total_Penjualan]]</f>
        <v>120000</v>
      </c>
      <c r="U163" t="str">
        <f>PROPER(Table1[[#This Row],[Kota]])</f>
        <v>Denpasar</v>
      </c>
      <c r="V163" t="str">
        <f>PROPER(Table1[[#This Row],[Metode_Pembayaran]])</f>
        <v>Tunai</v>
      </c>
    </row>
    <row r="164" spans="1:22" x14ac:dyDescent="0.25">
      <c r="A164" s="7" t="s">
        <v>1451</v>
      </c>
      <c r="B164" s="3" t="s">
        <v>567</v>
      </c>
      <c r="C164" s="3" t="s">
        <v>1135</v>
      </c>
      <c r="D164" s="3" t="s">
        <v>19</v>
      </c>
      <c r="E164" s="3" t="s">
        <v>1136</v>
      </c>
      <c r="F164" s="3">
        <v>15</v>
      </c>
      <c r="G164" s="3">
        <v>7000</v>
      </c>
      <c r="H164" s="3">
        <v>105000</v>
      </c>
      <c r="I164" s="3" t="s">
        <v>1004</v>
      </c>
      <c r="J164" s="4" t="s">
        <v>884</v>
      </c>
      <c r="M164" s="10">
        <f>DATEVALUE(SUBSTITUTE(SUBSTITUTE(SUBSTITUTE(SUBSTITUTE(SUBSTITUTE(SUBSTITUTE(SUBSTITUTE(SUBSTITUTE(SUBSTITUTE(SUBSTITUTE(SUBSTITUTE(SUBSTITUTE(Table1[[#This Row],[Tanggal]],"Jan", "Jan"),"Feb","Feb"),"Mar","Mar"),"Apr","Apr"),"Mei","May"),"Jun","Jun"),"Jul","Jul"),"Agu","Aug"),"Sep","Sep"),"Okt","Oct"),"Nov","Nov"),"Des","Dec"))</f>
        <v>46508</v>
      </c>
      <c r="N164" t="str">
        <f>Table1[[#This Row],[ID_Transaksi]]</f>
        <v>INV-1163</v>
      </c>
      <c r="O164" s="5" t="str">
        <f>PROPER(TRIM(SUBSTITUTE(Table1[[#This Row],[Nama_Toko]],"""","")))</f>
        <v>Grosir Mulia</v>
      </c>
      <c r="P164" s="3" t="str">
        <f>PROPER(TRIM(Table1[[#This Row],[Kategori_Produk]]))</f>
        <v>Minuman</v>
      </c>
      <c r="Q164" t="str">
        <f>PROPER(TRIM(Table1[Nama Produk]))</f>
        <v>Teh Botol 450Ml</v>
      </c>
      <c r="R164">
        <f>Table1[[#This Row],[Qty]]</f>
        <v>15</v>
      </c>
      <c r="S164" t="str">
        <f>SUBSTITUTE(SUBSTITUTE(Table1[[#This Row],[Harga_Satuan]],"Rp.",""),".","")</f>
        <v>7000</v>
      </c>
      <c r="T164">
        <f>Table1[[#This Row],[Total_Penjualan]]</f>
        <v>105000</v>
      </c>
      <c r="U164" t="str">
        <f>PROPER(Table1[[#This Row],[Kota]])</f>
        <v>Jakarta</v>
      </c>
      <c r="V164" t="str">
        <f>PROPER(Table1[[#This Row],[Metode_Pembayaran]])</f>
        <v>Kartu Debit</v>
      </c>
    </row>
    <row r="165" spans="1:22" x14ac:dyDescent="0.25">
      <c r="A165" s="8" t="s">
        <v>1131</v>
      </c>
      <c r="B165" s="5" t="s">
        <v>569</v>
      </c>
      <c r="C165" s="5" t="s">
        <v>1137</v>
      </c>
      <c r="D165" s="5" t="s">
        <v>886</v>
      </c>
      <c r="E165" s="5" t="s">
        <v>1138</v>
      </c>
      <c r="F165" s="5">
        <v>4</v>
      </c>
      <c r="G165" s="5">
        <v>45000</v>
      </c>
      <c r="H165" s="5">
        <v>180000</v>
      </c>
      <c r="I165" s="5" t="s">
        <v>915</v>
      </c>
      <c r="J165" s="6" t="s">
        <v>888</v>
      </c>
      <c r="M165" s="10">
        <f>DATEVALUE(SUBSTITUTE(SUBSTITUTE(SUBSTITUTE(SUBSTITUTE(SUBSTITUTE(SUBSTITUTE(SUBSTITUTE(SUBSTITUTE(SUBSTITUTE(SUBSTITUTE(SUBSTITUTE(SUBSTITUTE(Table1[[#This Row],[Tanggal]],"Jan", "Jan"),"Feb","Feb"),"Mar","Mar"),"Apr","Apr"),"Mei","May"),"Jun","Jun"),"Jul","Jul"),"Agu","Aug"),"Sep","Sep"),"Okt","Oct"),"Nov","Nov"),"Des","Dec"))</f>
        <v>46517</v>
      </c>
      <c r="N165" t="str">
        <f>Table1[[#This Row],[ID_Transaksi]]</f>
        <v>TRX-1164</v>
      </c>
      <c r="O165" s="5" t="str">
        <f>PROPER(TRIM(SUBSTITUTE(Table1[[#This Row],[Nama_Toko]],"""","")))</f>
        <v>Warung Barokah</v>
      </c>
      <c r="P165" s="3" t="str">
        <f>PROPER(TRIM(Table1[[#This Row],[Kategori_Produk]]))</f>
        <v>Elektronik</v>
      </c>
      <c r="Q165" t="str">
        <f>PROPER(TRIM(Table1[Nama Produk]))</f>
        <v>Smart Plug Wifi</v>
      </c>
      <c r="R165">
        <f>Table1[[#This Row],[Qty]]</f>
        <v>4</v>
      </c>
      <c r="S165" t="str">
        <f>SUBSTITUTE(SUBSTITUTE(Table1[[#This Row],[Harga_Satuan]],"Rp.",""),".","")</f>
        <v>45000</v>
      </c>
      <c r="T165">
        <f>Table1[[#This Row],[Total_Penjualan]]</f>
        <v>180000</v>
      </c>
      <c r="U165" t="str">
        <f>PROPER(Table1[[#This Row],[Kota]])</f>
        <v>Medan</v>
      </c>
      <c r="V165" t="str">
        <f>PROPER(Table1[[#This Row],[Metode_Pembayaran]])</f>
        <v>Kartu Kredit</v>
      </c>
    </row>
    <row r="166" spans="1:22" x14ac:dyDescent="0.25">
      <c r="A166" s="7" t="s">
        <v>1452</v>
      </c>
      <c r="B166" s="3" t="s">
        <v>573</v>
      </c>
      <c r="C166" s="3" t="s">
        <v>1139</v>
      </c>
      <c r="D166" s="3" t="s">
        <v>890</v>
      </c>
      <c r="E166" s="3" t="s">
        <v>574</v>
      </c>
      <c r="F166" s="3">
        <v>2</v>
      </c>
      <c r="G166" s="3">
        <v>38000</v>
      </c>
      <c r="H166" s="3">
        <v>76000</v>
      </c>
      <c r="I166" s="3" t="s">
        <v>958</v>
      </c>
      <c r="J166" s="4" t="s">
        <v>893</v>
      </c>
      <c r="M166" s="10">
        <f>DATEVALUE(SUBSTITUTE(SUBSTITUTE(SUBSTITUTE(SUBSTITUTE(SUBSTITUTE(SUBSTITUTE(SUBSTITUTE(SUBSTITUTE(SUBSTITUTE(SUBSTITUTE(SUBSTITUTE(SUBSTITUTE(Table1[[#This Row],[Tanggal]],"Jan", "Jan"),"Feb","Feb"),"Mar","Mar"),"Apr","Apr"),"Mei","May"),"Jun","Jun"),"Jul","Jul"),"Agu","Aug"),"Sep","Sep"),"Okt","Oct"),"Nov","Nov"),"Des","Dec"))</f>
        <v>46527</v>
      </c>
      <c r="N166" t="str">
        <f>Table1[[#This Row],[ID_Transaksi]]</f>
        <v>INV-1165</v>
      </c>
      <c r="O166" s="5" t="str">
        <f>PROPER(TRIM(SUBSTITUTE(Table1[[#This Row],[Nama_Toko]],"""","")))</f>
        <v>Gudang Jaya Abadi</v>
      </c>
      <c r="P166" s="3" t="str">
        <f>PROPER(TRIM(Table1[[#This Row],[Kategori_Produk]]))</f>
        <v>Kecantikan</v>
      </c>
      <c r="Q166" t="str">
        <f>PROPER(TRIM(Table1[Nama Produk]))</f>
        <v>Pencuci Muka Charcoal</v>
      </c>
      <c r="R166">
        <f>Table1[[#This Row],[Qty]]</f>
        <v>2</v>
      </c>
      <c r="S166" t="str">
        <f>SUBSTITUTE(SUBSTITUTE(Table1[[#This Row],[Harga_Satuan]],"Rp.",""),".","")</f>
        <v>38000</v>
      </c>
      <c r="T166">
        <f>Table1[[#This Row],[Total_Penjualan]]</f>
        <v>76000</v>
      </c>
      <c r="U166" t="str">
        <f>PROPER(Table1[[#This Row],[Kota]])</f>
        <v>Yogyakarta</v>
      </c>
      <c r="V166" t="str">
        <f>PROPER(Table1[[#This Row],[Metode_Pembayaran]])</f>
        <v>Tunai</v>
      </c>
    </row>
    <row r="167" spans="1:22" x14ac:dyDescent="0.25">
      <c r="A167" s="8" t="s">
        <v>1453</v>
      </c>
      <c r="B167" s="5" t="s">
        <v>575</v>
      </c>
      <c r="C167" s="5" t="s">
        <v>1140</v>
      </c>
      <c r="D167" s="5" t="s">
        <v>895</v>
      </c>
      <c r="E167" s="5" t="s">
        <v>1141</v>
      </c>
      <c r="F167" s="5">
        <v>6</v>
      </c>
      <c r="G167" s="5">
        <v>20000</v>
      </c>
      <c r="H167" s="5">
        <v>120000</v>
      </c>
      <c r="I167" s="5" t="s">
        <v>960</v>
      </c>
      <c r="J167" s="6" t="s">
        <v>884</v>
      </c>
      <c r="M167" s="10">
        <f>DATEVALUE(SUBSTITUTE(SUBSTITUTE(SUBSTITUTE(SUBSTITUTE(SUBSTITUTE(SUBSTITUTE(SUBSTITUTE(SUBSTITUTE(SUBSTITUTE(SUBSTITUTE(SUBSTITUTE(SUBSTITUTE(Table1[[#This Row],[Tanggal]],"Jan", "Jan"),"Feb","Feb"),"Mar","Mar"),"Apr","Apr"),"Mei","May"),"Jun","Jun"),"Jul","Jul"),"Agu","Aug"),"Sep","Sep"),"Okt","Oct"),"Nov","Nov"),"Des","Dec"))</f>
        <v>46539</v>
      </c>
      <c r="N167" t="str">
        <f>Table1[[#This Row],[ID_Transaksi]]</f>
        <v>TRX-1166</v>
      </c>
      <c r="O167" s="5" t="str">
        <f>PROPER(TRIM(SUBSTITUTE(Table1[[#This Row],[Nama_Toko]],"""","")))</f>
        <v>Toko Cita</v>
      </c>
      <c r="P167" s="3" t="str">
        <f>PROPER(TRIM(Table1[[#This Row],[Kategori_Produk]]))</f>
        <v>Makanan</v>
      </c>
      <c r="Q167" t="str">
        <f>PROPER(TRIM(Table1[Nama Produk]))</f>
        <v>Gula Merah Batok</v>
      </c>
      <c r="R167">
        <f>Table1[[#This Row],[Qty]]</f>
        <v>6</v>
      </c>
      <c r="S167" t="str">
        <f>SUBSTITUTE(SUBSTITUTE(Table1[[#This Row],[Harga_Satuan]],"Rp.",""),".","")</f>
        <v>20000</v>
      </c>
      <c r="T167">
        <f>Table1[[#This Row],[Total_Penjualan]]</f>
        <v>120000</v>
      </c>
      <c r="U167" t="str">
        <f>PROPER(Table1[[#This Row],[Kota]])</f>
        <v>Malang</v>
      </c>
      <c r="V167" t="str">
        <f>PROPER(Table1[[#This Row],[Metode_Pembayaran]])</f>
        <v>Kartu Debit</v>
      </c>
    </row>
    <row r="168" spans="1:22" x14ac:dyDescent="0.25">
      <c r="A168" s="7" t="s">
        <v>1454</v>
      </c>
      <c r="B168" s="3" t="s">
        <v>578</v>
      </c>
      <c r="C168" s="3" t="s">
        <v>1142</v>
      </c>
      <c r="D168" s="3" t="s">
        <v>43</v>
      </c>
      <c r="E168" s="3" t="s">
        <v>579</v>
      </c>
      <c r="F168" s="3">
        <v>3</v>
      </c>
      <c r="G168" s="3">
        <v>50000</v>
      </c>
      <c r="H168" s="3">
        <v>150000</v>
      </c>
      <c r="I168" s="3" t="s">
        <v>883</v>
      </c>
      <c r="J168" s="4" t="s">
        <v>880</v>
      </c>
      <c r="M168" s="10">
        <f>DATEVALUE(SUBSTITUTE(SUBSTITUTE(SUBSTITUTE(SUBSTITUTE(SUBSTITUTE(SUBSTITUTE(SUBSTITUTE(SUBSTITUTE(SUBSTITUTE(SUBSTITUTE(SUBSTITUTE(SUBSTITUTE(Table1[[#This Row],[Tanggal]],"Jan", "Jan"),"Feb","Feb"),"Mar","Mar"),"Apr","Apr"),"Mei","May"),"Jun","Jun"),"Jul","Jul"),"Agu","Aug"),"Sep","Sep"),"Okt","Oct"),"Nov","Nov"),"Des","Dec"))</f>
        <v>46553</v>
      </c>
      <c r="N168" t="str">
        <f>Table1[[#This Row],[ID_Transaksi]]</f>
        <v>INV-1167</v>
      </c>
      <c r="O168" s="5" t="str">
        <f>PROPER(TRIM(SUBSTITUTE(Table1[[#This Row],[Nama_Toko]],"""","")))</f>
        <v>Pasar Tanjung</v>
      </c>
      <c r="P168" s="3" t="str">
        <f>PROPER(TRIM(Table1[[#This Row],[Kategori_Produk]]))</f>
        <v>Pakaian</v>
      </c>
      <c r="Q168" t="str">
        <f>PROPER(TRIM(Table1[Nama Produk]))</f>
        <v>Syall Motif Etnik</v>
      </c>
      <c r="R168">
        <f>Table1[[#This Row],[Qty]]</f>
        <v>3</v>
      </c>
      <c r="S168" t="str">
        <f>SUBSTITUTE(SUBSTITUTE(Table1[[#This Row],[Harga_Satuan]],"Rp.",""),".","")</f>
        <v>50000</v>
      </c>
      <c r="T168">
        <f>Table1[[#This Row],[Total_Penjualan]]</f>
        <v>150000</v>
      </c>
      <c r="U168" t="str">
        <f>PROPER(Table1[[#This Row],[Kota]])</f>
        <v>Bandung</v>
      </c>
      <c r="V168" t="str">
        <f>PROPER(Table1[[#This Row],[Metode_Pembayaran]])</f>
        <v>Tunai</v>
      </c>
    </row>
    <row r="169" spans="1:22" x14ac:dyDescent="0.25">
      <c r="A169" s="8" t="s">
        <v>1455</v>
      </c>
      <c r="B169" s="5" t="s">
        <v>581</v>
      </c>
      <c r="C169" s="5" t="s">
        <v>1143</v>
      </c>
      <c r="D169" s="5" t="s">
        <v>901</v>
      </c>
      <c r="E169" s="5" t="s">
        <v>582</v>
      </c>
      <c r="F169" s="5">
        <v>1</v>
      </c>
      <c r="G169" s="5">
        <v>175000</v>
      </c>
      <c r="H169" s="5">
        <v>175000</v>
      </c>
      <c r="I169" s="5" t="s">
        <v>919</v>
      </c>
      <c r="J169" s="6" t="s">
        <v>29</v>
      </c>
      <c r="M169" s="10">
        <f>DATEVALUE(SUBSTITUTE(SUBSTITUTE(SUBSTITUTE(SUBSTITUTE(SUBSTITUTE(SUBSTITUTE(SUBSTITUTE(SUBSTITUTE(SUBSTITUTE(SUBSTITUTE(SUBSTITUTE(SUBSTITUTE(Table1[[#This Row],[Tanggal]],"Jan", "Jan"),"Feb","Feb"),"Mar","Mar"),"Apr","Apr"),"Mei","May"),"Jun","Jun"),"Jul","Jul"),"Agu","Aug"),"Sep","Sep"),"Okt","Oct"),"Nov","Nov"),"Des","Dec"))</f>
        <v>46563</v>
      </c>
      <c r="N169" t="str">
        <f>Table1[[#This Row],[ID_Transaksi]]</f>
        <v>TRX-1168</v>
      </c>
      <c r="O169" s="5" t="str">
        <f>PROPER(TRIM(SUBSTITUTE(Table1[[#This Row],[Nama_Toko]],"""","")))</f>
        <v>Minimarket Pahlawan</v>
      </c>
      <c r="P169" s="3" t="str">
        <f>PROPER(TRIM(Table1[[#This Row],[Kategori_Produk]]))</f>
        <v>Mainan</v>
      </c>
      <c r="Q169" t="str">
        <f>PROPER(TRIM(Table1[Nama Produk]))</f>
        <v>Mobil Remote Control Balap</v>
      </c>
      <c r="R169">
        <f>Table1[[#This Row],[Qty]]</f>
        <v>1</v>
      </c>
      <c r="S169" t="str">
        <f>SUBSTITUTE(SUBSTITUTE(Table1[[#This Row],[Harga_Satuan]],"Rp.",""),".","")</f>
        <v>175000</v>
      </c>
      <c r="T169">
        <f>Table1[[#This Row],[Total_Penjualan]]</f>
        <v>175000</v>
      </c>
      <c r="U169" t="str">
        <f>PROPER(Table1[[#This Row],[Kota]])</f>
        <v>Semarang</v>
      </c>
      <c r="V169" t="str">
        <f>PROPER(Table1[[#This Row],[Metode_Pembayaran]])</f>
        <v>Kartu Kredit</v>
      </c>
    </row>
    <row r="170" spans="1:22" x14ac:dyDescent="0.25">
      <c r="A170" s="7" t="s">
        <v>1456</v>
      </c>
      <c r="B170" s="3" t="s">
        <v>583</v>
      </c>
      <c r="C170" s="3" t="s">
        <v>1145</v>
      </c>
      <c r="D170" s="3" t="s">
        <v>12</v>
      </c>
      <c r="E170" s="3" t="s">
        <v>585</v>
      </c>
      <c r="F170" s="3">
        <v>4</v>
      </c>
      <c r="G170" s="3">
        <v>18000</v>
      </c>
      <c r="H170" s="3">
        <v>72000</v>
      </c>
      <c r="I170" s="3" t="s">
        <v>965</v>
      </c>
      <c r="J170" s="4" t="s">
        <v>893</v>
      </c>
      <c r="M170" s="10">
        <f>DATEVALUE(SUBSTITUTE(SUBSTITUTE(SUBSTITUTE(SUBSTITUTE(SUBSTITUTE(SUBSTITUTE(SUBSTITUTE(SUBSTITUTE(SUBSTITUTE(SUBSTITUTE(SUBSTITUTE(SUBSTITUTE(Table1[[#This Row],[Tanggal]],"Jan", "Jan"),"Feb","Feb"),"Mar","Mar"),"Apr","Apr"),"Mei","May"),"Jun","Jun"),"Jul","Jul"),"Agu","Aug"),"Sep","Sep"),"Okt","Oct"),"Nov","Nov"),"Des","Dec"))</f>
        <v>46573</v>
      </c>
      <c r="N170" t="str">
        <f>Table1[[#This Row],[ID_Transaksi]]</f>
        <v>INV-1169</v>
      </c>
      <c r="O170" s="5" t="str">
        <f>PROPER(TRIM(SUBSTITUTE(Table1[[#This Row],[Nama_Toko]],"""","")))</f>
        <v>Toko Sinar Jaya</v>
      </c>
      <c r="P170" s="3" t="str">
        <f>PROPER(TRIM(Table1[[#This Row],[Kategori_Produk]]))</f>
        <v>Makanan</v>
      </c>
      <c r="Q170" t="str">
        <f>PROPER(TRIM(Table1[Nama Produk]))</f>
        <v>Sambal Botol Pedas</v>
      </c>
      <c r="R170">
        <f>Table1[[#This Row],[Qty]]</f>
        <v>4</v>
      </c>
      <c r="S170" t="str">
        <f>SUBSTITUTE(SUBSTITUTE(Table1[[#This Row],[Harga_Satuan]],"Rp.",""),".","")</f>
        <v>18000</v>
      </c>
      <c r="T170">
        <f>Table1[[#This Row],[Total_Penjualan]]</f>
        <v>72000</v>
      </c>
      <c r="U170" t="str">
        <f>PROPER(Table1[[#This Row],[Kota]])</f>
        <v>Surabaya</v>
      </c>
      <c r="V170" t="str">
        <f>PROPER(Table1[[#This Row],[Metode_Pembayaran]])</f>
        <v>Tunai</v>
      </c>
    </row>
    <row r="171" spans="1:22" x14ac:dyDescent="0.25">
      <c r="A171" s="8" t="s">
        <v>1457</v>
      </c>
      <c r="B171" s="5" t="s">
        <v>586</v>
      </c>
      <c r="C171" s="5" t="s">
        <v>1146</v>
      </c>
      <c r="D171" s="5" t="s">
        <v>19</v>
      </c>
      <c r="E171" s="5" t="s">
        <v>587</v>
      </c>
      <c r="F171" s="5">
        <v>10</v>
      </c>
      <c r="G171" s="5">
        <v>9000</v>
      </c>
      <c r="H171" s="5">
        <v>90000</v>
      </c>
      <c r="I171" s="5" t="s">
        <v>937</v>
      </c>
      <c r="J171" s="6" t="s">
        <v>884</v>
      </c>
      <c r="M171" s="10">
        <f>DATEVALUE(SUBSTITUTE(SUBSTITUTE(SUBSTITUTE(SUBSTITUTE(SUBSTITUTE(SUBSTITUTE(SUBSTITUTE(SUBSTITUTE(SUBSTITUTE(SUBSTITUTE(SUBSTITUTE(SUBSTITUTE(Table1[[#This Row],[Tanggal]],"Jan", "Jan"),"Feb","Feb"),"Mar","Mar"),"Apr","Apr"),"Mei","May"),"Jun","Jun"),"Jul","Jul"),"Agu","Aug"),"Sep","Sep"),"Okt","Oct"),"Nov","Nov"),"Des","Dec"))</f>
        <v>46583</v>
      </c>
      <c r="N171" t="str">
        <f>Table1[[#This Row],[ID_Transaksi]]</f>
        <v>TRX-1170</v>
      </c>
      <c r="O171" s="5" t="str">
        <f>PROPER(TRIM(SUBSTITUTE(Table1[[#This Row],[Nama_Toko]],"""","")))</f>
        <v>Grosir Mega</v>
      </c>
      <c r="P171" s="3" t="str">
        <f>PROPER(TRIM(Table1[[#This Row],[Kategori_Produk]]))</f>
        <v>Minuman</v>
      </c>
      <c r="Q171" t="str">
        <f>PROPER(TRIM(Table1[Nama Produk]))</f>
        <v>Air Soda Rasa Buah</v>
      </c>
      <c r="R171">
        <f>Table1[[#This Row],[Qty]]</f>
        <v>10</v>
      </c>
      <c r="S171" t="str">
        <f>SUBSTITUTE(SUBSTITUTE(Table1[[#This Row],[Harga_Satuan]],"Rp.",""),".","")</f>
        <v>9000</v>
      </c>
      <c r="T171">
        <f>Table1[[#This Row],[Total_Penjualan]]</f>
        <v>90000</v>
      </c>
      <c r="U171" t="str">
        <f>PROPER(Table1[[#This Row],[Kota]])</f>
        <v>Depok</v>
      </c>
      <c r="V171" t="str">
        <f>PROPER(Table1[[#This Row],[Metode_Pembayaran]])</f>
        <v>Kartu Debit</v>
      </c>
    </row>
    <row r="172" spans="1:22" x14ac:dyDescent="0.25">
      <c r="A172" s="7" t="s">
        <v>1458</v>
      </c>
      <c r="B172" s="3" t="s">
        <v>588</v>
      </c>
      <c r="C172" s="3" t="s">
        <v>1147</v>
      </c>
      <c r="D172" s="3" t="s">
        <v>886</v>
      </c>
      <c r="E172" s="3" t="s">
        <v>1148</v>
      </c>
      <c r="F172" s="3">
        <v>3</v>
      </c>
      <c r="G172" s="3">
        <v>40000</v>
      </c>
      <c r="H172" s="3">
        <v>120000</v>
      </c>
      <c r="I172" s="3" t="s">
        <v>968</v>
      </c>
      <c r="J172" s="4" t="s">
        <v>888</v>
      </c>
      <c r="M172" s="10">
        <f>DATEVALUE(SUBSTITUTE(SUBSTITUTE(SUBSTITUTE(SUBSTITUTE(SUBSTITUTE(SUBSTITUTE(SUBSTITUTE(SUBSTITUTE(SUBSTITUTE(SUBSTITUTE(SUBSTITUTE(SUBSTITUTE(Table1[[#This Row],[Tanggal]],"Jan", "Jan"),"Feb","Feb"),"Mar","Mar"),"Apr","Apr"),"Mei","May"),"Jun","Jun"),"Jul","Jul"),"Agu","Aug"),"Sep","Sep"),"Okt","Oct"),"Nov","Nov"),"Des","Dec"))</f>
        <v>46593</v>
      </c>
      <c r="N172" t="str">
        <f>Table1[[#This Row],[ID_Transaksi]]</f>
        <v>INV-1171</v>
      </c>
      <c r="O172" s="5" t="str">
        <f>PROPER(TRIM(SUBSTITUTE(Table1[[#This Row],[Nama_Toko]],"""","")))</f>
        <v>Warung Kecil</v>
      </c>
      <c r="P172" s="3" t="str">
        <f>PROPER(TRIM(Table1[[#This Row],[Kategori_Produk]]))</f>
        <v>Elektronik</v>
      </c>
      <c r="Q172" t="str">
        <f>PROPER(TRIM(Table1[Nama Produk]))</f>
        <v>Lampu Belajar Led Fleksibel</v>
      </c>
      <c r="R172">
        <f>Table1[[#This Row],[Qty]]</f>
        <v>3</v>
      </c>
      <c r="S172" t="str">
        <f>SUBSTITUTE(SUBSTITUTE(Table1[[#This Row],[Harga_Satuan]],"Rp.",""),".","")</f>
        <v>40000</v>
      </c>
      <c r="T172">
        <f>Table1[[#This Row],[Total_Penjualan]]</f>
        <v>120000</v>
      </c>
      <c r="U172" t="str">
        <f>PROPER(Table1[[#This Row],[Kota]])</f>
        <v>Jakarta Selatan</v>
      </c>
      <c r="V172" t="str">
        <f>PROPER(Table1[[#This Row],[Metode_Pembayaran]])</f>
        <v>Kartu Kredit</v>
      </c>
    </row>
    <row r="173" spans="1:22" x14ac:dyDescent="0.25">
      <c r="A173" s="8" t="s">
        <v>1459</v>
      </c>
      <c r="B173" s="5" t="s">
        <v>591</v>
      </c>
      <c r="C173" s="5" t="s">
        <v>1149</v>
      </c>
      <c r="D173" s="5" t="s">
        <v>890</v>
      </c>
      <c r="E173" s="5" t="s">
        <v>592</v>
      </c>
      <c r="F173" s="5">
        <v>12</v>
      </c>
      <c r="G173" s="5">
        <v>10000</v>
      </c>
      <c r="H173" s="5">
        <v>120000</v>
      </c>
      <c r="I173" s="5" t="s">
        <v>915</v>
      </c>
      <c r="J173" s="6" t="s">
        <v>893</v>
      </c>
      <c r="M173" s="10">
        <f>DATEVALUE(SUBSTITUTE(SUBSTITUTE(SUBSTITUTE(SUBSTITUTE(SUBSTITUTE(SUBSTITUTE(SUBSTITUTE(SUBSTITUTE(SUBSTITUTE(SUBSTITUTE(SUBSTITUTE(SUBSTITUTE(Table1[[#This Row],[Tanggal]],"Jan", "Jan"),"Feb","Feb"),"Mar","Mar"),"Apr","Apr"),"Mei","May"),"Jun","Jun"),"Jul","Jul"),"Agu","Aug"),"Sep","Sep"),"Okt","Oct"),"Nov","Nov"),"Des","Dec"))</f>
        <v>46600</v>
      </c>
      <c r="N173" t="str">
        <f>Table1[[#This Row],[ID_Transaksi]]</f>
        <v>TRX-1172</v>
      </c>
      <c r="O173" s="5" t="str">
        <f>PROPER(TRIM(SUBSTITUTE(Table1[[#This Row],[Nama_Toko]],"""","")))</f>
        <v>Gudang Pintar</v>
      </c>
      <c r="P173" s="3" t="str">
        <f>PROPER(TRIM(Table1[[#This Row],[Kategori_Produk]]))</f>
        <v>Kecantikan</v>
      </c>
      <c r="Q173" t="str">
        <f>PROPER(TRIM(Table1[Nama Produk]))</f>
        <v>Lip Balm Pelembab</v>
      </c>
      <c r="R173">
        <f>Table1[[#This Row],[Qty]]</f>
        <v>12</v>
      </c>
      <c r="S173" t="str">
        <f>SUBSTITUTE(SUBSTITUTE(Table1[[#This Row],[Harga_Satuan]],"Rp.",""),".","")</f>
        <v>10000</v>
      </c>
      <c r="T173">
        <f>Table1[[#This Row],[Total_Penjualan]]</f>
        <v>120000</v>
      </c>
      <c r="U173" t="str">
        <f>PROPER(Table1[[#This Row],[Kota]])</f>
        <v>Medan</v>
      </c>
      <c r="V173" t="str">
        <f>PROPER(Table1[[#This Row],[Metode_Pembayaran]])</f>
        <v>Tunai</v>
      </c>
    </row>
    <row r="174" spans="1:22" x14ac:dyDescent="0.25">
      <c r="A174" s="7" t="s">
        <v>1144</v>
      </c>
      <c r="B174" s="3" t="s">
        <v>593</v>
      </c>
      <c r="C174" s="3" t="s">
        <v>1150</v>
      </c>
      <c r="D174" s="3" t="s">
        <v>895</v>
      </c>
      <c r="E174" s="3" t="s">
        <v>1151</v>
      </c>
      <c r="F174" s="3">
        <v>15</v>
      </c>
      <c r="G174" s="3">
        <v>7000</v>
      </c>
      <c r="H174" s="3">
        <v>105000</v>
      </c>
      <c r="I174" s="3" t="s">
        <v>913</v>
      </c>
      <c r="J174" s="4" t="s">
        <v>884</v>
      </c>
      <c r="M174" s="10">
        <f>DATEVALUE(SUBSTITUTE(SUBSTITUTE(SUBSTITUTE(SUBSTITUTE(SUBSTITUTE(SUBSTITUTE(SUBSTITUTE(SUBSTITUTE(SUBSTITUTE(SUBSTITUTE(SUBSTITUTE(SUBSTITUTE(Table1[[#This Row],[Tanggal]],"Jan", "Jan"),"Feb","Feb"),"Mar","Mar"),"Apr","Apr"),"Mei","May"),"Jun","Jun"),"Jul","Jul"),"Agu","Aug"),"Sep","Sep"),"Okt","Oct"),"Nov","Nov"),"Des","Dec"))</f>
        <v>46609</v>
      </c>
      <c r="N174" t="str">
        <f>Table1[[#This Row],[ID_Transaksi]]</f>
        <v>INV-1173</v>
      </c>
      <c r="O174" s="5" t="str">
        <f>PROPER(TRIM(SUBSTITUTE(Table1[[#This Row],[Nama_Toko]],"""","")))</f>
        <v>Toko Semesta</v>
      </c>
      <c r="P174" s="3" t="str">
        <f>PROPER(TRIM(Table1[[#This Row],[Kategori_Produk]]))</f>
        <v>Makanan</v>
      </c>
      <c r="Q174" t="str">
        <f>PROPER(TRIM(Table1[Nama Produk]))</f>
        <v>Kerupuk Sayur</v>
      </c>
      <c r="R174">
        <f>Table1[[#This Row],[Qty]]</f>
        <v>15</v>
      </c>
      <c r="S174" t="str">
        <f>SUBSTITUTE(SUBSTITUTE(Table1[[#This Row],[Harga_Satuan]],"Rp.",""),".","")</f>
        <v>7000</v>
      </c>
      <c r="T174">
        <f>Table1[[#This Row],[Total_Penjualan]]</f>
        <v>105000</v>
      </c>
      <c r="U174" t="str">
        <f>PROPER(Table1[[#This Row],[Kota]])</f>
        <v>Yogyakarta</v>
      </c>
      <c r="V174" t="str">
        <f>PROPER(Table1[[#This Row],[Metode_Pembayaran]])</f>
        <v>Kartu Debit</v>
      </c>
    </row>
    <row r="175" spans="1:22" x14ac:dyDescent="0.25">
      <c r="A175" s="8" t="s">
        <v>1460</v>
      </c>
      <c r="B175" s="5" t="s">
        <v>597</v>
      </c>
      <c r="C175" s="5" t="s">
        <v>1152</v>
      </c>
      <c r="D175" s="5" t="s">
        <v>43</v>
      </c>
      <c r="E175" s="5" t="s">
        <v>598</v>
      </c>
      <c r="F175" s="5">
        <v>8</v>
      </c>
      <c r="G175" s="5">
        <v>45000</v>
      </c>
      <c r="H175" s="5">
        <v>360000</v>
      </c>
      <c r="I175" s="5" t="s">
        <v>960</v>
      </c>
      <c r="J175" s="6" t="s">
        <v>880</v>
      </c>
      <c r="M175" s="10">
        <f>DATEVALUE(SUBSTITUTE(SUBSTITUTE(SUBSTITUTE(SUBSTITUTE(SUBSTITUTE(SUBSTITUTE(SUBSTITUTE(SUBSTITUTE(SUBSTITUTE(SUBSTITUTE(SUBSTITUTE(SUBSTITUTE(Table1[[#This Row],[Tanggal]],"Jan", "Jan"),"Feb","Feb"),"Mar","Mar"),"Apr","Apr"),"Mei","May"),"Jun","Jun"),"Jul","Jul"),"Agu","Aug"),"Sep","Sep"),"Okt","Oct"),"Nov","Nov"),"Des","Dec"))</f>
        <v>46619</v>
      </c>
      <c r="N175" t="str">
        <f>Table1[[#This Row],[ID_Transaksi]]</f>
        <v>TRX-1174</v>
      </c>
      <c r="O175" s="5" t="str">
        <f>PROPER(TRIM(SUBSTITUTE(Table1[[#This Row],[Nama_Toko]],"""","")))</f>
        <v>Pasar Pagi Hari</v>
      </c>
      <c r="P175" s="3" t="str">
        <f>PROPER(TRIM(Table1[[#This Row],[Kategori_Produk]]))</f>
        <v>Pakaian</v>
      </c>
      <c r="Q175" t="str">
        <f>PROPER(TRIM(Table1[Nama Produk]))</f>
        <v>Celana Pendek Santai</v>
      </c>
      <c r="R175">
        <f>Table1[[#This Row],[Qty]]</f>
        <v>8</v>
      </c>
      <c r="S175" t="str">
        <f>SUBSTITUTE(SUBSTITUTE(Table1[[#This Row],[Harga_Satuan]],"Rp.",""),".","")</f>
        <v>45000</v>
      </c>
      <c r="T175">
        <f>Table1[[#This Row],[Total_Penjualan]]</f>
        <v>360000</v>
      </c>
      <c r="U175" t="str">
        <f>PROPER(Table1[[#This Row],[Kota]])</f>
        <v>Malang</v>
      </c>
      <c r="V175" t="str">
        <f>PROPER(Table1[[#This Row],[Metode_Pembayaran]])</f>
        <v>Tunai</v>
      </c>
    </row>
    <row r="176" spans="1:22" x14ac:dyDescent="0.25">
      <c r="A176" s="7" t="s">
        <v>1461</v>
      </c>
      <c r="B176" s="3" t="s">
        <v>599</v>
      </c>
      <c r="C176" s="3" t="s">
        <v>1154</v>
      </c>
      <c r="D176" s="3" t="s">
        <v>901</v>
      </c>
      <c r="E176" s="3" t="s">
        <v>600</v>
      </c>
      <c r="F176" s="3">
        <v>2</v>
      </c>
      <c r="G176" s="3">
        <v>85000</v>
      </c>
      <c r="H176" s="3">
        <v>170000</v>
      </c>
      <c r="I176" s="3" t="s">
        <v>21</v>
      </c>
      <c r="J176" s="4" t="s">
        <v>29</v>
      </c>
      <c r="M176" s="10">
        <f>DATEVALUE(SUBSTITUTE(SUBSTITUTE(SUBSTITUTE(SUBSTITUTE(SUBSTITUTE(SUBSTITUTE(SUBSTITUTE(SUBSTITUTE(SUBSTITUTE(SUBSTITUTE(SUBSTITUTE(SUBSTITUTE(Table1[[#This Row],[Tanggal]],"Jan", "Jan"),"Feb","Feb"),"Mar","Mar"),"Apr","Apr"),"Mei","May"),"Jun","Jun"),"Jul","Jul"),"Agu","Aug"),"Sep","Sep"),"Okt","Oct"),"Nov","Nov"),"Des","Dec"))</f>
        <v>46631</v>
      </c>
      <c r="N176" t="str">
        <f>Table1[[#This Row],[ID_Transaksi]]</f>
        <v>INV-1175</v>
      </c>
      <c r="O176" s="5" t="str">
        <f>PROPER(TRIM(SUBSTITUTE(Table1[[#This Row],[Nama_Toko]],"""","")))</f>
        <v>Minimarket Jasa</v>
      </c>
      <c r="P176" s="3" t="str">
        <f>PROPER(TRIM(Table1[[#This Row],[Kategori_Produk]]))</f>
        <v>Mainan</v>
      </c>
      <c r="Q176" t="str">
        <f>PROPER(TRIM(Table1[Nama Produk]))</f>
        <v>Mainan Dokter Gigi</v>
      </c>
      <c r="R176">
        <f>Table1[[#This Row],[Qty]]</f>
        <v>2</v>
      </c>
      <c r="S176" t="str">
        <f>SUBSTITUTE(SUBSTITUTE(Table1[[#This Row],[Harga_Satuan]],"Rp.",""),".","")</f>
        <v>85000</v>
      </c>
      <c r="T176">
        <f>Table1[[#This Row],[Total_Penjualan]]</f>
        <v>170000</v>
      </c>
      <c r="U176" t="str">
        <f>PROPER(Table1[[#This Row],[Kota]])</f>
        <v>Bandung</v>
      </c>
      <c r="V176" t="str">
        <f>PROPER(Table1[[#This Row],[Metode_Pembayaran]])</f>
        <v>Kartu Kredit</v>
      </c>
    </row>
    <row r="177" spans="1:22" x14ac:dyDescent="0.25">
      <c r="A177" s="8" t="s">
        <v>1462</v>
      </c>
      <c r="B177" s="5" t="s">
        <v>601</v>
      </c>
      <c r="C177" s="5" t="s">
        <v>1155</v>
      </c>
      <c r="D177" s="5" t="s">
        <v>12</v>
      </c>
      <c r="E177" s="5" t="s">
        <v>603</v>
      </c>
      <c r="F177" s="5">
        <v>5</v>
      </c>
      <c r="G177" s="5">
        <v>16000</v>
      </c>
      <c r="H177" s="5">
        <v>80000</v>
      </c>
      <c r="I177" s="5" t="s">
        <v>932</v>
      </c>
      <c r="J177" s="6" t="s">
        <v>893</v>
      </c>
      <c r="M177" s="10">
        <f>DATEVALUE(SUBSTITUTE(SUBSTITUTE(SUBSTITUTE(SUBSTITUTE(SUBSTITUTE(SUBSTITUTE(SUBSTITUTE(SUBSTITUTE(SUBSTITUTE(SUBSTITUTE(SUBSTITUTE(SUBSTITUTE(Table1[[#This Row],[Tanggal]],"Jan", "Jan"),"Feb","Feb"),"Mar","Mar"),"Apr","Apr"),"Mei","May"),"Jun","Jun"),"Jul","Jul"),"Agu","Aug"),"Sep","Sep"),"Okt","Oct"),"Nov","Nov"),"Des","Dec"))</f>
        <v>46645</v>
      </c>
      <c r="N177" t="str">
        <f>Table1[[#This Row],[ID_Transaksi]]</f>
        <v>TRX-1176</v>
      </c>
      <c r="O177" s="5" t="str">
        <f>PROPER(TRIM(SUBSTITUTE(Table1[[#This Row],[Nama_Toko]],"""","")))</f>
        <v>Toko Mitra</v>
      </c>
      <c r="P177" s="3" t="str">
        <f>PROPER(TRIM(Table1[[#This Row],[Kategori_Produk]]))</f>
        <v>Makanan</v>
      </c>
      <c r="Q177" t="str">
        <f>PROPER(TRIM(Table1[Nama Produk]))</f>
        <v>Bumbu Kacang Instan</v>
      </c>
      <c r="R177">
        <f>Table1[[#This Row],[Qty]]</f>
        <v>5</v>
      </c>
      <c r="S177" t="str">
        <f>SUBSTITUTE(SUBSTITUTE(Table1[[#This Row],[Harga_Satuan]],"Rp.",""),".","")</f>
        <v>16000</v>
      </c>
      <c r="T177">
        <f>Table1[[#This Row],[Total_Penjualan]]</f>
        <v>80000</v>
      </c>
      <c r="U177" t="str">
        <f>PROPER(Table1[[#This Row],[Kota]])</f>
        <v>Semarang</v>
      </c>
      <c r="V177" t="str">
        <f>PROPER(Table1[[#This Row],[Metode_Pembayaran]])</f>
        <v>Tunai</v>
      </c>
    </row>
    <row r="178" spans="1:22" x14ac:dyDescent="0.25">
      <c r="A178" s="7" t="s">
        <v>1463</v>
      </c>
      <c r="B178" s="3" t="s">
        <v>604</v>
      </c>
      <c r="C178" s="3" t="s">
        <v>1156</v>
      </c>
      <c r="D178" s="3" t="s">
        <v>19</v>
      </c>
      <c r="E178" s="3" t="s">
        <v>605</v>
      </c>
      <c r="F178" s="3">
        <v>6</v>
      </c>
      <c r="G178" s="3">
        <v>15000</v>
      </c>
      <c r="H178" s="3">
        <v>90000</v>
      </c>
      <c r="I178" s="3" t="s">
        <v>951</v>
      </c>
      <c r="J178" s="4" t="s">
        <v>884</v>
      </c>
      <c r="M178" s="10">
        <f>DATEVALUE(SUBSTITUTE(SUBSTITUTE(SUBSTITUTE(SUBSTITUTE(SUBSTITUTE(SUBSTITUTE(SUBSTITUTE(SUBSTITUTE(SUBSTITUTE(SUBSTITUTE(SUBSTITUTE(SUBSTITUTE(Table1[[#This Row],[Tanggal]],"Jan", "Jan"),"Feb","Feb"),"Mar","Mar"),"Apr","Apr"),"Mei","May"),"Jun","Jun"),"Jul","Jul"),"Agu","Aug"),"Sep","Sep"),"Okt","Oct"),"Nov","Nov"),"Des","Dec"))</f>
        <v>46655</v>
      </c>
      <c r="N178" t="str">
        <f>Table1[[#This Row],[ID_Transaksi]]</f>
        <v>INV-1177</v>
      </c>
      <c r="O178" s="5" t="str">
        <f>PROPER(TRIM(SUBSTITUTE(Table1[[#This Row],[Nama_Toko]],"""","")))</f>
        <v>Grosir Pusat Kota</v>
      </c>
      <c r="P178" s="3" t="str">
        <f>PROPER(TRIM(Table1[[#This Row],[Kategori_Produk]]))</f>
        <v>Minuman</v>
      </c>
      <c r="Q178" t="str">
        <f>PROPER(TRIM(Table1[Nama Produk]))</f>
        <v>Kopi Susu Kaleng Dingin</v>
      </c>
      <c r="R178">
        <f>Table1[[#This Row],[Qty]]</f>
        <v>6</v>
      </c>
      <c r="S178" t="str">
        <f>SUBSTITUTE(SUBSTITUTE(Table1[[#This Row],[Harga_Satuan]],"Rp.",""),".","")</f>
        <v>15000</v>
      </c>
      <c r="T178">
        <f>Table1[[#This Row],[Total_Penjualan]]</f>
        <v>90000</v>
      </c>
      <c r="U178" t="str">
        <f>PROPER(Table1[[#This Row],[Kota]])</f>
        <v>Surabaya</v>
      </c>
      <c r="V178" t="str">
        <f>PROPER(Table1[[#This Row],[Metode_Pembayaran]])</f>
        <v>Kartu Debit</v>
      </c>
    </row>
    <row r="179" spans="1:22" x14ac:dyDescent="0.25">
      <c r="A179" s="8" t="s">
        <v>1464</v>
      </c>
      <c r="B179" s="5" t="s">
        <v>606</v>
      </c>
      <c r="C179" s="5" t="s">
        <v>1157</v>
      </c>
      <c r="D179" s="5" t="s">
        <v>886</v>
      </c>
      <c r="E179" s="5" t="s">
        <v>1158</v>
      </c>
      <c r="F179" s="5">
        <v>1</v>
      </c>
      <c r="G179" s="5">
        <v>750000</v>
      </c>
      <c r="H179" s="5">
        <v>750000</v>
      </c>
      <c r="I179" s="5" t="s">
        <v>923</v>
      </c>
      <c r="J179" s="6" t="s">
        <v>888</v>
      </c>
      <c r="M179" s="10">
        <f>DATEVALUE(SUBSTITUTE(SUBSTITUTE(SUBSTITUTE(SUBSTITUTE(SUBSTITUTE(SUBSTITUTE(SUBSTITUTE(SUBSTITUTE(SUBSTITUTE(SUBSTITUTE(SUBSTITUTE(SUBSTITUTE(Table1[[#This Row],[Tanggal]],"Jan", "Jan"),"Feb","Feb"),"Mar","Mar"),"Apr","Apr"),"Mei","May"),"Jun","Jun"),"Jul","Jul"),"Agu","Aug"),"Sep","Sep"),"Okt","Oct"),"Nov","Nov"),"Des","Dec"))</f>
        <v>46665</v>
      </c>
      <c r="N179" t="str">
        <f>Table1[[#This Row],[ID_Transaksi]]</f>
        <v>TRX-1178</v>
      </c>
      <c r="O179" s="5" t="str">
        <f>PROPER(TRIM(SUBSTITUTE(Table1[[#This Row],[Nama_Toko]],"""","")))</f>
        <v>Warung Damai</v>
      </c>
      <c r="P179" s="3" t="str">
        <f>PROPER(TRIM(Table1[[#This Row],[Kategori_Produk]]))</f>
        <v>Elektronik</v>
      </c>
      <c r="Q179" t="str">
        <f>PROPER(TRIM(Table1[Nama Produk]))</f>
        <v>Hard Disk Eksternal 1Tb</v>
      </c>
      <c r="R179">
        <f>Table1[[#This Row],[Qty]]</f>
        <v>1</v>
      </c>
      <c r="S179" t="str">
        <f>SUBSTITUTE(SUBSTITUTE(Table1[[#This Row],[Harga_Satuan]],"Rp.",""),".","")</f>
        <v>750000</v>
      </c>
      <c r="T179">
        <f>Table1[[#This Row],[Total_Penjualan]]</f>
        <v>750000</v>
      </c>
      <c r="U179" t="str">
        <f>PROPER(Table1[[#This Row],[Kota]])</f>
        <v>Denpasar</v>
      </c>
      <c r="V179" t="str">
        <f>PROPER(Table1[[#This Row],[Metode_Pembayaran]])</f>
        <v>Kartu Kredit</v>
      </c>
    </row>
    <row r="180" spans="1:22" x14ac:dyDescent="0.25">
      <c r="A180" s="7" t="s">
        <v>1153</v>
      </c>
      <c r="B180" s="5" t="s">
        <v>608</v>
      </c>
      <c r="C180" s="3" t="s">
        <v>1159</v>
      </c>
      <c r="D180" s="3" t="s">
        <v>890</v>
      </c>
      <c r="E180" s="3" t="s">
        <v>609</v>
      </c>
      <c r="F180" s="3">
        <v>2</v>
      </c>
      <c r="G180" s="3">
        <v>70000</v>
      </c>
      <c r="H180" s="3">
        <v>140000</v>
      </c>
      <c r="I180" s="3" t="s">
        <v>978</v>
      </c>
      <c r="J180" s="4" t="s">
        <v>893</v>
      </c>
      <c r="M180" s="10">
        <f>DATEVALUE(SUBSTITUTE(SUBSTITUTE(SUBSTITUTE(SUBSTITUTE(SUBSTITUTE(SUBSTITUTE(SUBSTITUTE(SUBSTITUTE(SUBSTITUTE(SUBSTITUTE(SUBSTITUTE(SUBSTITUTE(Table1[[#This Row],[Tanggal]],"Jan", "Jan"),"Feb","Feb"),"Mar","Mar"),"Apr","Apr"),"Mei","May"),"Jun","Jun"),"Jul","Jul"),"Agu","Aug"),"Sep","Sep"),"Okt","Oct"),"Nov","Nov"),"Des","Dec"))</f>
        <v>46675</v>
      </c>
      <c r="N180" t="str">
        <f>Table1[[#This Row],[ID_Transaksi]]</f>
        <v>TRX-1179</v>
      </c>
      <c r="O180" s="5" t="str">
        <f>PROPER(TRIM(SUBSTITUTE(Table1[[#This Row],[Nama_Toko]],"""","")))</f>
        <v>Gudang Serba Ada</v>
      </c>
      <c r="P180" s="3" t="str">
        <f>PROPER(TRIM(Table1[[#This Row],[Kategori_Produk]]))</f>
        <v>Kecantikan</v>
      </c>
      <c r="Q180" t="str">
        <f>PROPER(TRIM(Table1[Nama Produk]))</f>
        <v>Maskara Volume Tebal</v>
      </c>
      <c r="R180">
        <f>Table1[[#This Row],[Qty]]</f>
        <v>2</v>
      </c>
      <c r="S180" t="str">
        <f>SUBSTITUTE(SUBSTITUTE(Table1[[#This Row],[Harga_Satuan]],"Rp.",""),".","")</f>
        <v>70000</v>
      </c>
      <c r="T180">
        <f>Table1[[#This Row],[Total_Penjualan]]</f>
        <v>140000</v>
      </c>
      <c r="U180" t="str">
        <f>PROPER(Table1[[#This Row],[Kota]])</f>
        <v>Jakarta</v>
      </c>
      <c r="V180" t="str">
        <f>PROPER(Table1[[#This Row],[Metode_Pembayaran]])</f>
        <v>Tunai</v>
      </c>
    </row>
    <row r="181" spans="1:22" x14ac:dyDescent="0.25">
      <c r="A181" s="8" t="s">
        <v>1465</v>
      </c>
      <c r="B181" s="5" t="s">
        <v>610</v>
      </c>
      <c r="C181" s="5" t="s">
        <v>1160</v>
      </c>
      <c r="D181" s="5" t="s">
        <v>895</v>
      </c>
      <c r="E181" s="5" t="s">
        <v>1161</v>
      </c>
      <c r="F181" s="5">
        <v>4</v>
      </c>
      <c r="G181" s="5">
        <v>18000</v>
      </c>
      <c r="H181" s="5">
        <v>72000</v>
      </c>
      <c r="I181" s="5" t="s">
        <v>915</v>
      </c>
      <c r="J181" s="6" t="s">
        <v>884</v>
      </c>
      <c r="M181" s="10">
        <f>DATEVALUE(SUBSTITUTE(SUBSTITUTE(SUBSTITUTE(SUBSTITUTE(SUBSTITUTE(SUBSTITUTE(SUBSTITUTE(SUBSTITUTE(SUBSTITUTE(SUBSTITUTE(SUBSTITUTE(SUBSTITUTE(Table1[[#This Row],[Tanggal]],"Jan", "Jan"),"Feb","Feb"),"Mar","Mar"),"Apr","Apr"),"Mei","May"),"Jun","Jun"),"Jul","Jul"),"Agu","Aug"),"Sep","Sep"),"Okt","Oct"),"Nov","Nov"),"Des","Dec"))</f>
        <v>46685</v>
      </c>
      <c r="N181" t="str">
        <f>Table1[[#This Row],[ID_Transaksi]]</f>
        <v>INV-1180</v>
      </c>
      <c r="O181" s="5" t="str">
        <f>PROPER(TRIM(SUBSTITUTE(Table1[[#This Row],[Nama_Toko]],"""","")))</f>
        <v>Toko Ramai</v>
      </c>
      <c r="P181" s="3" t="str">
        <f>PROPER(TRIM(Table1[[#This Row],[Kategori_Produk]]))</f>
        <v>Makanan</v>
      </c>
      <c r="Q181" t="str">
        <f>PROPER(TRIM(Table1[Nama Produk]))</f>
        <v>Teh Hijau Daun</v>
      </c>
      <c r="R181">
        <f>Table1[[#This Row],[Qty]]</f>
        <v>4</v>
      </c>
      <c r="S181" t="str">
        <f>SUBSTITUTE(SUBSTITUTE(Table1[[#This Row],[Harga_Satuan]],"Rp.",""),".","")</f>
        <v>18000</v>
      </c>
      <c r="T181">
        <f>Table1[[#This Row],[Total_Penjualan]]</f>
        <v>72000</v>
      </c>
      <c r="U181" t="str">
        <f>PROPER(Table1[[#This Row],[Kota]])</f>
        <v>Medan</v>
      </c>
      <c r="V181" t="str">
        <f>PROPER(Table1[[#This Row],[Metode_Pembayaran]])</f>
        <v>Kartu Debit</v>
      </c>
    </row>
    <row r="182" spans="1:22" x14ac:dyDescent="0.25">
      <c r="A182" s="7" t="s">
        <v>1466</v>
      </c>
      <c r="B182" s="3" t="s">
        <v>613</v>
      </c>
      <c r="C182" s="3" t="s">
        <v>1163</v>
      </c>
      <c r="D182" s="3" t="s">
        <v>43</v>
      </c>
      <c r="E182" s="3" t="s">
        <v>614</v>
      </c>
      <c r="F182" s="3">
        <v>3</v>
      </c>
      <c r="G182" s="3">
        <v>140000</v>
      </c>
      <c r="H182" s="3">
        <v>420000</v>
      </c>
      <c r="I182" s="3" t="s">
        <v>958</v>
      </c>
      <c r="J182" s="4" t="s">
        <v>880</v>
      </c>
      <c r="M182" s="10">
        <f>DATEVALUE(SUBSTITUTE(SUBSTITUTE(SUBSTITUTE(SUBSTITUTE(SUBSTITUTE(SUBSTITUTE(SUBSTITUTE(SUBSTITUTE(SUBSTITUTE(SUBSTITUTE(SUBSTITUTE(SUBSTITUTE(Table1[[#This Row],[Tanggal]],"Jan", "Jan"),"Feb","Feb"),"Mar","Mar"),"Apr","Apr"),"Mei","May"),"Jun","Jun"),"Jul","Jul"),"Agu","Aug"),"Sep","Sep"),"Okt","Oct"),"Nov","Nov"),"Des","Dec"))</f>
        <v>46692</v>
      </c>
      <c r="N182" t="str">
        <f>Table1[[#This Row],[ID_Transaksi]]</f>
        <v>TRX-1181</v>
      </c>
      <c r="O182" s="5" t="str">
        <f>PROPER(TRIM(SUBSTITUTE(Table1[[#This Row],[Nama_Toko]],"""","")))</f>
        <v>Pasar Pahlawan</v>
      </c>
      <c r="P182" s="3" t="str">
        <f>PROPER(TRIM(Table1[[#This Row],[Kategori_Produk]]))</f>
        <v>Pakaian</v>
      </c>
      <c r="Q182" t="str">
        <f>PROPER(TRIM(Table1[Nama Produk]))</f>
        <v>Rompi Rajut Wanita</v>
      </c>
      <c r="R182">
        <f>Table1[[#This Row],[Qty]]</f>
        <v>3</v>
      </c>
      <c r="S182" t="str">
        <f>SUBSTITUTE(SUBSTITUTE(Table1[[#This Row],[Harga_Satuan]],"Rp.",""),".","")</f>
        <v>140000</v>
      </c>
      <c r="T182">
        <f>Table1[[#This Row],[Total_Penjualan]]</f>
        <v>420000</v>
      </c>
      <c r="U182" t="str">
        <f>PROPER(Table1[[#This Row],[Kota]])</f>
        <v>Yogyakarta</v>
      </c>
      <c r="V182" t="str">
        <f>PROPER(Table1[[#This Row],[Metode_Pembayaran]])</f>
        <v>Tunai</v>
      </c>
    </row>
    <row r="183" spans="1:22" x14ac:dyDescent="0.25">
      <c r="A183" s="8" t="s">
        <v>1467</v>
      </c>
      <c r="B183" s="5" t="s">
        <v>615</v>
      </c>
      <c r="C183" s="5" t="s">
        <v>1164</v>
      </c>
      <c r="D183" s="5" t="s">
        <v>901</v>
      </c>
      <c r="E183" s="5" t="s">
        <v>616</v>
      </c>
      <c r="F183" s="5">
        <v>1</v>
      </c>
      <c r="G183" s="5">
        <v>120000</v>
      </c>
      <c r="H183" s="5">
        <v>120000</v>
      </c>
      <c r="I183" s="5" t="s">
        <v>960</v>
      </c>
      <c r="J183" s="6" t="s">
        <v>29</v>
      </c>
      <c r="M183" s="10">
        <f>DATEVALUE(SUBSTITUTE(SUBSTITUTE(SUBSTITUTE(SUBSTITUTE(SUBSTITUTE(SUBSTITUTE(SUBSTITUTE(SUBSTITUTE(SUBSTITUTE(SUBSTITUTE(SUBSTITUTE(SUBSTITUTE(Table1[[#This Row],[Tanggal]],"Jan", "Jan"),"Feb","Feb"),"Mar","Mar"),"Apr","Apr"),"Mei","May"),"Jun","Jun"),"Jul","Jul"),"Agu","Aug"),"Sep","Sep"),"Okt","Oct"),"Nov","Nov"),"Des","Dec"))</f>
        <v>46701</v>
      </c>
      <c r="N183" t="str">
        <f>Table1[[#This Row],[ID_Transaksi]]</f>
        <v>INV-1182</v>
      </c>
      <c r="O183" s="5" t="str">
        <f>PROPER(TRIM(SUBSTITUTE(Table1[[#This Row],[Nama_Toko]],"""","")))</f>
        <v>Minimarket Sehat</v>
      </c>
      <c r="P183" s="3" t="str">
        <f>PROPER(TRIM(Table1[[#This Row],[Kategori_Produk]]))</f>
        <v>Mainan</v>
      </c>
      <c r="Q183" t="str">
        <f>PROPER(TRIM(Table1[Nama Produk]))</f>
        <v>Alat Musik Mainan</v>
      </c>
      <c r="R183">
        <f>Table1[[#This Row],[Qty]]</f>
        <v>1</v>
      </c>
      <c r="S183" t="str">
        <f>SUBSTITUTE(SUBSTITUTE(Table1[[#This Row],[Harga_Satuan]],"Rp.",""),".","")</f>
        <v>120000</v>
      </c>
      <c r="T183">
        <f>Table1[[#This Row],[Total_Penjualan]]</f>
        <v>120000</v>
      </c>
      <c r="U183" t="str">
        <f>PROPER(Table1[[#This Row],[Kota]])</f>
        <v>Malang</v>
      </c>
      <c r="V183" t="str">
        <f>PROPER(Table1[[#This Row],[Metode_Pembayaran]])</f>
        <v>Kartu Kredit</v>
      </c>
    </row>
    <row r="184" spans="1:22" x14ac:dyDescent="0.25">
      <c r="A184" s="7" t="s">
        <v>1468</v>
      </c>
      <c r="B184" s="3" t="s">
        <v>617</v>
      </c>
      <c r="C184" s="3" t="s">
        <v>1165</v>
      </c>
      <c r="D184" s="3" t="s">
        <v>12</v>
      </c>
      <c r="E184" s="3" t="s">
        <v>618</v>
      </c>
      <c r="F184" s="3">
        <v>5</v>
      </c>
      <c r="G184" s="3">
        <v>55000</v>
      </c>
      <c r="H184" s="3">
        <v>275000</v>
      </c>
      <c r="I184" s="3" t="s">
        <v>883</v>
      </c>
      <c r="J184" s="4" t="s">
        <v>893</v>
      </c>
      <c r="M184" s="10">
        <f>DATEVALUE(SUBSTITUTE(SUBSTITUTE(SUBSTITUTE(SUBSTITUTE(SUBSTITUTE(SUBSTITUTE(SUBSTITUTE(SUBSTITUTE(SUBSTITUTE(SUBSTITUTE(SUBSTITUTE(SUBSTITUTE(Table1[[#This Row],[Tanggal]],"Jan", "Jan"),"Feb","Feb"),"Mar","Mar"),"Apr","Apr"),"Mei","May"),"Jun","Jun"),"Jul","Jul"),"Agu","Aug"),"Sep","Sep"),"Okt","Oct"),"Nov","Nov"),"Des","Dec"))</f>
        <v>46711</v>
      </c>
      <c r="N184" t="str">
        <f>Table1[[#This Row],[ID_Transaksi]]</f>
        <v>TRX-1183</v>
      </c>
      <c r="O184" s="5" t="str">
        <f>PROPER(TRIM(SUBSTITUTE(Table1[[#This Row],[Nama_Toko]],"""","")))</f>
        <v>Toko Besar</v>
      </c>
      <c r="P184" s="3" t="str">
        <f>PROPER(TRIM(Table1[[#This Row],[Kategori_Produk]]))</f>
        <v>Makanan</v>
      </c>
      <c r="Q184" t="str">
        <f>PROPER(TRIM(Table1[Nama Produk]))</f>
        <v>Madu Murni Botol Kecil</v>
      </c>
      <c r="R184">
        <f>Table1[[#This Row],[Qty]]</f>
        <v>5</v>
      </c>
      <c r="S184" t="str">
        <f>SUBSTITUTE(SUBSTITUTE(Table1[[#This Row],[Harga_Satuan]],"Rp.",""),".","")</f>
        <v>55000</v>
      </c>
      <c r="T184">
        <f>Table1[[#This Row],[Total_Penjualan]]</f>
        <v>275000</v>
      </c>
      <c r="U184" t="str">
        <f>PROPER(Table1[[#This Row],[Kota]])</f>
        <v>Bandung</v>
      </c>
      <c r="V184" t="str">
        <f>PROPER(Table1[[#This Row],[Metode_Pembayaran]])</f>
        <v>Tunai</v>
      </c>
    </row>
    <row r="185" spans="1:22" x14ac:dyDescent="0.25">
      <c r="A185" s="8" t="s">
        <v>1469</v>
      </c>
      <c r="B185" s="5" t="s">
        <v>619</v>
      </c>
      <c r="C185" s="5" t="s">
        <v>1166</v>
      </c>
      <c r="D185" s="5" t="s">
        <v>19</v>
      </c>
      <c r="E185" s="5" t="s">
        <v>620</v>
      </c>
      <c r="F185" s="5">
        <v>4</v>
      </c>
      <c r="G185" s="5">
        <v>35000</v>
      </c>
      <c r="H185" s="5">
        <v>140000</v>
      </c>
      <c r="I185" s="5" t="s">
        <v>919</v>
      </c>
      <c r="J185" s="6" t="s">
        <v>884</v>
      </c>
      <c r="M185" s="10">
        <f>DATEVALUE(SUBSTITUTE(SUBSTITUTE(SUBSTITUTE(SUBSTITUTE(SUBSTITUTE(SUBSTITUTE(SUBSTITUTE(SUBSTITUTE(SUBSTITUTE(SUBSTITUTE(SUBSTITUTE(SUBSTITUTE(Table1[[#This Row],[Tanggal]],"Jan", "Jan"),"Feb","Feb"),"Mar","Mar"),"Apr","Apr"),"Mei","May"),"Jun","Jun"),"Jul","Jul"),"Agu","Aug"),"Sep","Sep"),"Okt","Oct"),"Nov","Nov"),"Des","Dec"))</f>
        <v>46722</v>
      </c>
      <c r="N185" t="str">
        <f>Table1[[#This Row],[ID_Transaksi]]</f>
        <v>INV-1184</v>
      </c>
      <c r="O185" s="5" t="str">
        <f>PROPER(TRIM(SUBSTITUTE(Table1[[#This Row],[Nama_Toko]],"""","")))</f>
        <v>Grosir Abadi</v>
      </c>
      <c r="P185" s="3" t="str">
        <f>PROPER(TRIM(Table1[[#This Row],[Kategori_Produk]]))</f>
        <v>Minuman</v>
      </c>
      <c r="Q185" t="str">
        <f>PROPER(TRIM(Table1[Nama Produk]))</f>
        <v>Jus Sayur Botol</v>
      </c>
      <c r="R185">
        <f>Table1[[#This Row],[Qty]]</f>
        <v>4</v>
      </c>
      <c r="S185" t="str">
        <f>SUBSTITUTE(SUBSTITUTE(Table1[[#This Row],[Harga_Satuan]],"Rp.",""),".","")</f>
        <v>35000</v>
      </c>
      <c r="T185">
        <f>Table1[[#This Row],[Total_Penjualan]]</f>
        <v>140000</v>
      </c>
      <c r="U185" t="str">
        <f>PROPER(Table1[[#This Row],[Kota]])</f>
        <v>Semarang</v>
      </c>
      <c r="V185" t="str">
        <f>PROPER(Table1[[#This Row],[Metode_Pembayaran]])</f>
        <v>Kartu Debit</v>
      </c>
    </row>
    <row r="186" spans="1:22" x14ac:dyDescent="0.25">
      <c r="A186" s="7" t="s">
        <v>1162</v>
      </c>
      <c r="B186" s="3" t="s">
        <v>622</v>
      </c>
      <c r="C186" s="3" t="s">
        <v>1167</v>
      </c>
      <c r="D186" s="3" t="s">
        <v>886</v>
      </c>
      <c r="E186" s="3" t="s">
        <v>624</v>
      </c>
      <c r="F186" s="3">
        <v>2</v>
      </c>
      <c r="G186" s="3">
        <v>30000</v>
      </c>
      <c r="H186" s="3">
        <v>60000</v>
      </c>
      <c r="I186" s="3" t="s">
        <v>965</v>
      </c>
      <c r="J186" s="4" t="s">
        <v>888</v>
      </c>
      <c r="M186" s="10">
        <f>DATEVALUE(SUBSTITUTE(SUBSTITUTE(SUBSTITUTE(SUBSTITUTE(SUBSTITUTE(SUBSTITUTE(SUBSTITUTE(SUBSTITUTE(SUBSTITUTE(SUBSTITUTE(SUBSTITUTE(SUBSTITUTE(Table1[[#This Row],[Tanggal]],"Jan", "Jan"),"Feb","Feb"),"Mar","Mar"),"Apr","Apr"),"Mei","May"),"Jun","Jun"),"Jul","Jul"),"Agu","Aug"),"Sep","Sep"),"Okt","Oct"),"Nov","Nov"),"Des","Dec"))</f>
        <v>46736</v>
      </c>
      <c r="N186" t="str">
        <f>Table1[[#This Row],[ID_Transaksi]]</f>
        <v>TRX-1185</v>
      </c>
      <c r="O186" s="5" t="str">
        <f>PROPER(TRIM(SUBSTITUTE(Table1[[#This Row],[Nama_Toko]],"""","")))</f>
        <v>Warung Murni</v>
      </c>
      <c r="P186" s="3" t="str">
        <f>PROPER(TRIM(Table1[[#This Row],[Kategori_Produk]]))</f>
        <v>Elektronik</v>
      </c>
      <c r="Q186" t="str">
        <f>PROPER(TRIM(Table1[Nama Produk]))</f>
        <v>Mouse Pad Gaming</v>
      </c>
      <c r="R186">
        <f>Table1[[#This Row],[Qty]]</f>
        <v>2</v>
      </c>
      <c r="S186" t="str">
        <f>SUBSTITUTE(SUBSTITUTE(Table1[[#This Row],[Harga_Satuan]],"Rp.",""),".","")</f>
        <v>30000</v>
      </c>
      <c r="T186">
        <f>Table1[[#This Row],[Total_Penjualan]]</f>
        <v>60000</v>
      </c>
      <c r="U186" t="str">
        <f>PROPER(Table1[[#This Row],[Kota]])</f>
        <v>Surabaya</v>
      </c>
      <c r="V186" t="str">
        <f>PROPER(Table1[[#This Row],[Metode_Pembayaran]])</f>
        <v>Kartu Kredit</v>
      </c>
    </row>
    <row r="187" spans="1:22" x14ac:dyDescent="0.25">
      <c r="A187" s="8" t="s">
        <v>1470</v>
      </c>
      <c r="B187" s="5" t="s">
        <v>626</v>
      </c>
      <c r="C187" s="5" t="s">
        <v>1168</v>
      </c>
      <c r="D187" s="5" t="s">
        <v>890</v>
      </c>
      <c r="E187" s="5" t="s">
        <v>627</v>
      </c>
      <c r="F187" s="5">
        <v>6</v>
      </c>
      <c r="G187" s="5">
        <v>25000</v>
      </c>
      <c r="H187" s="5">
        <v>150000</v>
      </c>
      <c r="I187" s="5" t="s">
        <v>937</v>
      </c>
      <c r="J187" s="6" t="s">
        <v>893</v>
      </c>
      <c r="M187" s="10">
        <f>DATEVALUE(SUBSTITUTE(SUBSTITUTE(SUBSTITUTE(SUBSTITUTE(SUBSTITUTE(SUBSTITUTE(SUBSTITUTE(SUBSTITUTE(SUBSTITUTE(SUBSTITUTE(SUBSTITUTE(SUBSTITUTE(Table1[[#This Row],[Tanggal]],"Jan", "Jan"),"Feb","Feb"),"Mar","Mar"),"Apr","Apr"),"Mei","May"),"Jun","Jun"),"Jul","Jul"),"Agu","Aug"),"Sep","Sep"),"Okt","Oct"),"Nov","Nov"),"Des","Dec"))</f>
        <v>46746</v>
      </c>
      <c r="N187" t="str">
        <f>Table1[[#This Row],[ID_Transaksi]]</f>
        <v>INV-1186</v>
      </c>
      <c r="O187" s="5" t="str">
        <f>PROPER(TRIM(SUBSTITUTE(Table1[[#This Row],[Nama_Toko]],"""","")))</f>
        <v>Gudang Makmur</v>
      </c>
      <c r="P187" s="3" t="str">
        <f>PROPER(TRIM(Table1[[#This Row],[Kategori_Produk]]))</f>
        <v>Kecantikan</v>
      </c>
      <c r="Q187" t="str">
        <f>PROPER(TRIM(Table1[Nama Produk]))</f>
        <v>Pensil Alis Otomatis</v>
      </c>
      <c r="R187">
        <f>Table1[[#This Row],[Qty]]</f>
        <v>6</v>
      </c>
      <c r="S187" t="str">
        <f>SUBSTITUTE(SUBSTITUTE(Table1[[#This Row],[Harga_Satuan]],"Rp.",""),".","")</f>
        <v>25000</v>
      </c>
      <c r="T187">
        <f>Table1[[#This Row],[Total_Penjualan]]</f>
        <v>150000</v>
      </c>
      <c r="U187" t="str">
        <f>PROPER(Table1[[#This Row],[Kota]])</f>
        <v>Depok</v>
      </c>
      <c r="V187" t="str">
        <f>PROPER(Table1[[#This Row],[Metode_Pembayaran]])</f>
        <v>Tunai</v>
      </c>
    </row>
    <row r="188" spans="1:22" x14ac:dyDescent="0.25">
      <c r="A188" s="7" t="s">
        <v>1471</v>
      </c>
      <c r="B188" s="3" t="s">
        <v>628</v>
      </c>
      <c r="C188" s="3" t="s">
        <v>1169</v>
      </c>
      <c r="D188" s="3" t="s">
        <v>895</v>
      </c>
      <c r="E188" s="3" t="s">
        <v>1170</v>
      </c>
      <c r="F188" s="3">
        <v>3</v>
      </c>
      <c r="G188" s="3">
        <v>32000</v>
      </c>
      <c r="H188" s="3">
        <v>96000</v>
      </c>
      <c r="I188" s="3" t="s">
        <v>968</v>
      </c>
      <c r="J188" s="4" t="s">
        <v>884</v>
      </c>
      <c r="M188" s="10">
        <f>DATEVALUE(SUBSTITUTE(SUBSTITUTE(SUBSTITUTE(SUBSTITUTE(SUBSTITUTE(SUBSTITUTE(SUBSTITUTE(SUBSTITUTE(SUBSTITUTE(SUBSTITUTE(SUBSTITUTE(SUBSTITUTE(Table1[[#This Row],[Tanggal]],"Jan", "Jan"),"Feb","Feb"),"Mar","Mar"),"Apr","Apr"),"Mei","May"),"Jun","Jun"),"Jul","Jul"),"Agu","Aug"),"Sep","Sep"),"Okt","Oct"),"Nov","Nov"),"Des","Dec"))</f>
        <v>46757</v>
      </c>
      <c r="N188" t="str">
        <f>Table1[[#This Row],[ID_Transaksi]]</f>
        <v>TRX-1187</v>
      </c>
      <c r="O188" s="5" t="str">
        <f>PROPER(TRIM(SUBSTITUTE(Table1[[#This Row],[Nama_Toko]],"""","")))</f>
        <v>Toko Pelita</v>
      </c>
      <c r="P188" s="3" t="str">
        <f>PROPER(TRIM(Table1[[#This Row],[Kategori_Produk]]))</f>
        <v>Makanan</v>
      </c>
      <c r="Q188" t="str">
        <f>PROPER(TRIM(Table1[Nama Produk]))</f>
        <v>Bawang Merah 1 Kg</v>
      </c>
      <c r="R188">
        <f>Table1[[#This Row],[Qty]]</f>
        <v>3</v>
      </c>
      <c r="S188" t="str">
        <f>SUBSTITUTE(SUBSTITUTE(Table1[[#This Row],[Harga_Satuan]],"Rp.",""),".","")</f>
        <v>32000</v>
      </c>
      <c r="T188">
        <f>Table1[[#This Row],[Total_Penjualan]]</f>
        <v>96000</v>
      </c>
      <c r="U188" t="str">
        <f>PROPER(Table1[[#This Row],[Kota]])</f>
        <v>Jakarta Selatan</v>
      </c>
      <c r="V188" t="str">
        <f>PROPER(Table1[[#This Row],[Metode_Pembayaran]])</f>
        <v>Kartu Debit</v>
      </c>
    </row>
    <row r="189" spans="1:22" x14ac:dyDescent="0.25">
      <c r="A189" s="8" t="s">
        <v>1472</v>
      </c>
      <c r="B189" s="5" t="s">
        <v>631</v>
      </c>
      <c r="C189" s="5" t="s">
        <v>1074</v>
      </c>
      <c r="D189" s="5" t="s">
        <v>43</v>
      </c>
      <c r="E189" s="5" t="s">
        <v>632</v>
      </c>
      <c r="F189" s="5">
        <v>4</v>
      </c>
      <c r="G189" s="5">
        <v>95000</v>
      </c>
      <c r="H189" s="5">
        <v>380000</v>
      </c>
      <c r="I189" s="5" t="s">
        <v>915</v>
      </c>
      <c r="J189" s="6" t="s">
        <v>880</v>
      </c>
      <c r="M189" s="10">
        <f>DATEVALUE(SUBSTITUTE(SUBSTITUTE(SUBSTITUTE(SUBSTITUTE(SUBSTITUTE(SUBSTITUTE(SUBSTITUTE(SUBSTITUTE(SUBSTITUTE(SUBSTITUTE(SUBSTITUTE(SUBSTITUTE(Table1[[#This Row],[Tanggal]],"Jan", "Jan"),"Feb","Feb"),"Mar","Mar"),"Apr","Apr"),"Mei","May"),"Jun","Jun"),"Jul","Jul"),"Agu","Aug"),"Sep","Sep"),"Okt","Oct"),"Nov","Nov"),"Des","Dec"))</f>
        <v>46767</v>
      </c>
      <c r="N189" t="str">
        <f>Table1[[#This Row],[ID_Transaksi]]</f>
        <v>INV-1188</v>
      </c>
      <c r="O189" s="5" t="str">
        <f>PROPER(TRIM(SUBSTITUTE(Table1[[#This Row],[Nama_Toko]],"""","")))</f>
        <v>Pasar Senin</v>
      </c>
      <c r="P189" s="3" t="str">
        <f>PROPER(TRIM(Table1[[#This Row],[Kategori_Produk]]))</f>
        <v>Pakaian</v>
      </c>
      <c r="Q189" t="str">
        <f>PROPER(TRIM(Table1[Nama Produk]))</f>
        <v>Baju Tidur Satin</v>
      </c>
      <c r="R189">
        <f>Table1[[#This Row],[Qty]]</f>
        <v>4</v>
      </c>
      <c r="S189" t="str">
        <f>SUBSTITUTE(SUBSTITUTE(Table1[[#This Row],[Harga_Satuan]],"Rp.",""),".","")</f>
        <v>95000</v>
      </c>
      <c r="T189">
        <f>Table1[[#This Row],[Total_Penjualan]]</f>
        <v>380000</v>
      </c>
      <c r="U189" t="str">
        <f>PROPER(Table1[[#This Row],[Kota]])</f>
        <v>Medan</v>
      </c>
      <c r="V189" t="str">
        <f>PROPER(Table1[[#This Row],[Metode_Pembayaran]])</f>
        <v>Tunai</v>
      </c>
    </row>
    <row r="190" spans="1:22" x14ac:dyDescent="0.25">
      <c r="A190" s="7" t="s">
        <v>1473</v>
      </c>
      <c r="B190" s="3" t="s">
        <v>634</v>
      </c>
      <c r="C190" s="3" t="s">
        <v>1171</v>
      </c>
      <c r="D190" s="3" t="s">
        <v>901</v>
      </c>
      <c r="E190" s="3" t="s">
        <v>635</v>
      </c>
      <c r="F190" s="3">
        <v>1</v>
      </c>
      <c r="G190" s="3">
        <v>180000</v>
      </c>
      <c r="H190" s="3">
        <v>180000</v>
      </c>
      <c r="I190" s="3" t="s">
        <v>913</v>
      </c>
      <c r="J190" s="4" t="s">
        <v>29</v>
      </c>
      <c r="M190" s="10">
        <f>DATEVALUE(SUBSTITUTE(SUBSTITUTE(SUBSTITUTE(SUBSTITUTE(SUBSTITUTE(SUBSTITUTE(SUBSTITUTE(SUBSTITUTE(SUBSTITUTE(SUBSTITUTE(SUBSTITUTE(SUBSTITUTE(Table1[[#This Row],[Tanggal]],"Jan", "Jan"),"Feb","Feb"),"Mar","Mar"),"Apr","Apr"),"Mei","May"),"Jun","Jun"),"Jul","Jul"),"Agu","Aug"),"Sep","Sep"),"Okt","Oct"),"Nov","Nov"),"Des","Dec"))</f>
        <v>46777</v>
      </c>
      <c r="N190" t="str">
        <f>Table1[[#This Row],[ID_Transaksi]]</f>
        <v>TRX-1189</v>
      </c>
      <c r="O190" s="5" t="str">
        <f>PROPER(TRIM(SUBSTITUTE(Table1[[#This Row],[Nama_Toko]],"""","")))</f>
        <v>Minimarket Cahaya</v>
      </c>
      <c r="P190" s="3" t="str">
        <f>PROPER(TRIM(Table1[[#This Row],[Kategori_Produk]]))</f>
        <v>Mainan</v>
      </c>
      <c r="Q190" t="str">
        <f>PROPER(TRIM(Table1[Nama Produk]))</f>
        <v>Boneka Beruang Besar</v>
      </c>
      <c r="R190">
        <f>Table1[[#This Row],[Qty]]</f>
        <v>1</v>
      </c>
      <c r="S190" t="str">
        <f>SUBSTITUTE(SUBSTITUTE(Table1[[#This Row],[Harga_Satuan]],"Rp.",""),".","")</f>
        <v>180000</v>
      </c>
      <c r="T190">
        <f>Table1[[#This Row],[Total_Penjualan]]</f>
        <v>180000</v>
      </c>
      <c r="U190" t="str">
        <f>PROPER(Table1[[#This Row],[Kota]])</f>
        <v>Yogyakarta</v>
      </c>
      <c r="V190" t="str">
        <f>PROPER(Table1[[#This Row],[Metode_Pembayaran]])</f>
        <v>Kartu Kredit</v>
      </c>
    </row>
    <row r="191" spans="1:22" x14ac:dyDescent="0.25">
      <c r="A191" s="8" t="s">
        <v>1474</v>
      </c>
      <c r="B191" s="5" t="s">
        <v>636</v>
      </c>
      <c r="C191" s="5" t="s">
        <v>1172</v>
      </c>
      <c r="D191" s="5" t="s">
        <v>12</v>
      </c>
      <c r="E191" s="5" t="s">
        <v>638</v>
      </c>
      <c r="F191" s="5">
        <v>8</v>
      </c>
      <c r="G191" s="5">
        <v>12000</v>
      </c>
      <c r="H191" s="5">
        <v>96000</v>
      </c>
      <c r="I191" s="5" t="s">
        <v>960</v>
      </c>
      <c r="J191" s="6" t="s">
        <v>893</v>
      </c>
      <c r="M191" s="10">
        <f>DATEVALUE(SUBSTITUTE(SUBSTITUTE(SUBSTITUTE(SUBSTITUTE(SUBSTITUTE(SUBSTITUTE(SUBSTITUTE(SUBSTITUTE(SUBSTITUTE(SUBSTITUTE(SUBSTITUTE(SUBSTITUTE(Table1[[#This Row],[Tanggal]],"Jan", "Jan"),"Feb","Feb"),"Mar","Mar"),"Apr","Apr"),"Mei","May"),"Jun","Jun"),"Jul","Jul"),"Agu","Aug"),"Sep","Sep"),"Okt","Oct"),"Nov","Nov"),"Des","Dec"))</f>
        <v>46784</v>
      </c>
      <c r="N191" t="str">
        <f>Table1[[#This Row],[ID_Transaksi]]</f>
        <v>INV-1190</v>
      </c>
      <c r="O191" s="5" t="str">
        <f>PROPER(TRIM(SUBSTITUTE(Table1[[#This Row],[Nama_Toko]],"""","")))</f>
        <v>Toko Mandiri</v>
      </c>
      <c r="P191" s="3" t="str">
        <f>PROPER(TRIM(Table1[[#This Row],[Kategori_Produk]]))</f>
        <v>Makanan</v>
      </c>
      <c r="Q191" t="str">
        <f>PROPER(TRIM(Table1[Nama Produk]))</f>
        <v>Sambal Terasi Instan</v>
      </c>
      <c r="R191">
        <f>Table1[[#This Row],[Qty]]</f>
        <v>8</v>
      </c>
      <c r="S191" t="str">
        <f>SUBSTITUTE(SUBSTITUTE(Table1[[#This Row],[Harga_Satuan]],"Rp.",""),".","")</f>
        <v>12000</v>
      </c>
      <c r="T191">
        <f>Table1[[#This Row],[Total_Penjualan]]</f>
        <v>96000</v>
      </c>
      <c r="U191" t="str">
        <f>PROPER(Table1[[#This Row],[Kota]])</f>
        <v>Malang</v>
      </c>
      <c r="V191" t="str">
        <f>PROPER(Table1[[#This Row],[Metode_Pembayaran]])</f>
        <v>Tunai</v>
      </c>
    </row>
    <row r="192" spans="1:22" x14ac:dyDescent="0.25">
      <c r="A192" s="7" t="s">
        <v>1475</v>
      </c>
      <c r="B192" s="3" t="s">
        <v>639</v>
      </c>
      <c r="C192" s="3" t="s">
        <v>1173</v>
      </c>
      <c r="D192" s="3" t="s">
        <v>19</v>
      </c>
      <c r="E192" s="3" t="s">
        <v>640</v>
      </c>
      <c r="F192" s="3">
        <v>10</v>
      </c>
      <c r="G192" s="3">
        <v>5000</v>
      </c>
      <c r="H192" s="3">
        <v>50000</v>
      </c>
      <c r="I192" s="3" t="s">
        <v>21</v>
      </c>
      <c r="J192" s="4" t="s">
        <v>884</v>
      </c>
      <c r="M192" s="10">
        <f>DATEVALUE(SUBSTITUTE(SUBSTITUTE(SUBSTITUTE(SUBSTITUTE(SUBSTITUTE(SUBSTITUTE(SUBSTITUTE(SUBSTITUTE(SUBSTITUTE(SUBSTITUTE(SUBSTITUTE(SUBSTITUTE(Table1[[#This Row],[Tanggal]],"Jan", "Jan"),"Feb","Feb"),"Mar","Mar"),"Apr","Apr"),"Mei","May"),"Jun","Jun"),"Jul","Jul"),"Agu","Aug"),"Sep","Sep"),"Okt","Oct"),"Nov","Nov"),"Des","Dec"))</f>
        <v>46793</v>
      </c>
      <c r="N192" t="str">
        <f>Table1[[#This Row],[ID_Transaksi]]</f>
        <v>TRX-1191</v>
      </c>
      <c r="O192" s="5" t="str">
        <f>PROPER(TRIM(SUBSTITUTE(Table1[[#This Row],[Nama_Toko]],"""","")))</f>
        <v>Grosir Andal</v>
      </c>
      <c r="P192" s="3" t="str">
        <f>PROPER(TRIM(Table1[[#This Row],[Kategori_Produk]]))</f>
        <v>Minuman</v>
      </c>
      <c r="Q192" t="str">
        <f>PROPER(TRIM(Table1[Nama Produk]))</f>
        <v>Air Mineral Rasa Buah</v>
      </c>
      <c r="R192">
        <f>Table1[[#This Row],[Qty]]</f>
        <v>10</v>
      </c>
      <c r="S192" t="str">
        <f>SUBSTITUTE(SUBSTITUTE(Table1[[#This Row],[Harga_Satuan]],"Rp.",""),".","")</f>
        <v>5000</v>
      </c>
      <c r="T192">
        <f>Table1[[#This Row],[Total_Penjualan]]</f>
        <v>50000</v>
      </c>
      <c r="U192" t="str">
        <f>PROPER(Table1[[#This Row],[Kota]])</f>
        <v>Bandung</v>
      </c>
      <c r="V192" t="str">
        <f>PROPER(Table1[[#This Row],[Metode_Pembayaran]])</f>
        <v>Kartu Debit</v>
      </c>
    </row>
    <row r="193" spans="1:22" x14ac:dyDescent="0.25">
      <c r="A193" s="8" t="s">
        <v>1476</v>
      </c>
      <c r="B193" s="5" t="s">
        <v>641</v>
      </c>
      <c r="C193" s="5" t="s">
        <v>1174</v>
      </c>
      <c r="D193" s="5" t="s">
        <v>886</v>
      </c>
      <c r="E193" s="5" t="s">
        <v>643</v>
      </c>
      <c r="F193" s="5">
        <v>1</v>
      </c>
      <c r="G193" s="5">
        <v>100000</v>
      </c>
      <c r="H193" s="5">
        <v>100000</v>
      </c>
      <c r="I193" s="5" t="s">
        <v>932</v>
      </c>
      <c r="J193" s="6" t="s">
        <v>888</v>
      </c>
      <c r="M193" s="10">
        <f>DATEVALUE(SUBSTITUTE(SUBSTITUTE(SUBSTITUTE(SUBSTITUTE(SUBSTITUTE(SUBSTITUTE(SUBSTITUTE(SUBSTITUTE(SUBSTITUTE(SUBSTITUTE(SUBSTITUTE(SUBSTITUTE(Table1[[#This Row],[Tanggal]],"Jan", "Jan"),"Feb","Feb"),"Mar","Mar"),"Apr","Apr"),"Mei","May"),"Jun","Jun"),"Jul","Jul"),"Agu","Aug"),"Sep","Sep"),"Okt","Oct"),"Nov","Nov"),"Des","Dec"))</f>
        <v>46803</v>
      </c>
      <c r="N193" t="str">
        <f>Table1[[#This Row],[ID_Transaksi]]</f>
        <v>INV-1192</v>
      </c>
      <c r="O193" s="5" t="str">
        <f>PROPER(TRIM(SUBSTITUTE(Table1[[#This Row],[Nama_Toko]],"""","")))</f>
        <v>Warung Gembira</v>
      </c>
      <c r="P193" s="3" t="str">
        <f>PROPER(TRIM(Table1[[#This Row],[Kategori_Produk]]))</f>
        <v>Elektronik</v>
      </c>
      <c r="Q193" t="str">
        <f>PROPER(TRIM(Table1[Nama Produk]))</f>
        <v>Power Inverter Mobil</v>
      </c>
      <c r="R193">
        <f>Table1[[#This Row],[Qty]]</f>
        <v>1</v>
      </c>
      <c r="S193" t="str">
        <f>SUBSTITUTE(SUBSTITUTE(Table1[[#This Row],[Harga_Satuan]],"Rp.",""),".","")</f>
        <v>100000</v>
      </c>
      <c r="T193">
        <f>Table1[[#This Row],[Total_Penjualan]]</f>
        <v>100000</v>
      </c>
      <c r="U193" t="str">
        <f>PROPER(Table1[[#This Row],[Kota]])</f>
        <v>Semarang</v>
      </c>
      <c r="V193" t="str">
        <f>PROPER(Table1[[#This Row],[Metode_Pembayaran]])</f>
        <v>Kartu Kredit</v>
      </c>
    </row>
    <row r="194" spans="1:22" x14ac:dyDescent="0.25">
      <c r="A194" s="7" t="s">
        <v>1477</v>
      </c>
      <c r="B194" s="3" t="s">
        <v>644</v>
      </c>
      <c r="C194" s="3" t="s">
        <v>1175</v>
      </c>
      <c r="D194" s="3" t="s">
        <v>890</v>
      </c>
      <c r="E194" s="3" t="s">
        <v>645</v>
      </c>
      <c r="F194" s="3">
        <v>3</v>
      </c>
      <c r="G194" s="3">
        <v>50000</v>
      </c>
      <c r="H194" s="3">
        <v>150000</v>
      </c>
      <c r="I194" s="3" t="s">
        <v>951</v>
      </c>
      <c r="J194" s="4" t="s">
        <v>893</v>
      </c>
      <c r="M194" s="10">
        <f>DATEVALUE(SUBSTITUTE(SUBSTITUTE(SUBSTITUTE(SUBSTITUTE(SUBSTITUTE(SUBSTITUTE(SUBSTITUTE(SUBSTITUTE(SUBSTITUTE(SUBSTITUTE(SUBSTITUTE(SUBSTITUTE(Table1[[#This Row],[Tanggal]],"Jan", "Jan"),"Feb","Feb"),"Mar","Mar"),"Apr","Apr"),"Mei","May"),"Jun","Jun"),"Jul","Jul"),"Agu","Aug"),"Sep","Sep"),"Okt","Oct"),"Nov","Nov"),"Des","Dec"))</f>
        <v>46813</v>
      </c>
      <c r="N194" t="str">
        <f>Table1[[#This Row],[ID_Transaksi]]</f>
        <v>TRX-1193</v>
      </c>
      <c r="O194" s="5" t="str">
        <f>PROPER(TRIM(SUBSTITUTE(Table1[[#This Row],[Nama_Toko]],"""","")))</f>
        <v>Gudang Muda</v>
      </c>
      <c r="P194" s="3" t="str">
        <f>PROPER(TRIM(Table1[[#This Row],[Kategori_Produk]]))</f>
        <v>Kecantikan</v>
      </c>
      <c r="Q194" t="str">
        <f>PROPER(TRIM(Table1[Nama Produk]))</f>
        <v>Krim Anti Jerawat Totol</v>
      </c>
      <c r="R194">
        <f>Table1[[#This Row],[Qty]]</f>
        <v>3</v>
      </c>
      <c r="S194" t="str">
        <f>SUBSTITUTE(SUBSTITUTE(Table1[[#This Row],[Harga_Satuan]],"Rp.",""),".","")</f>
        <v>50000</v>
      </c>
      <c r="T194">
        <f>Table1[[#This Row],[Total_Penjualan]]</f>
        <v>150000</v>
      </c>
      <c r="U194" t="str">
        <f>PROPER(Table1[[#This Row],[Kota]])</f>
        <v>Surabaya</v>
      </c>
      <c r="V194" t="str">
        <f>PROPER(Table1[[#This Row],[Metode_Pembayaran]])</f>
        <v>Tunai</v>
      </c>
    </row>
    <row r="195" spans="1:22" x14ac:dyDescent="0.25">
      <c r="A195" s="8" t="s">
        <v>1478</v>
      </c>
      <c r="B195" s="5" t="s">
        <v>646</v>
      </c>
      <c r="C195" s="5" t="s">
        <v>1176</v>
      </c>
      <c r="D195" s="5" t="s">
        <v>895</v>
      </c>
      <c r="E195" s="5" t="s">
        <v>1177</v>
      </c>
      <c r="F195" s="5">
        <v>5</v>
      </c>
      <c r="G195" s="5">
        <v>80000</v>
      </c>
      <c r="H195" s="5">
        <v>400000</v>
      </c>
      <c r="I195" s="5" t="s">
        <v>923</v>
      </c>
      <c r="J195" s="6" t="s">
        <v>884</v>
      </c>
      <c r="M195" s="10">
        <f>DATEVALUE(SUBSTITUTE(SUBSTITUTE(SUBSTITUTE(SUBSTITUTE(SUBSTITUTE(SUBSTITUTE(SUBSTITUTE(SUBSTITUTE(SUBSTITUTE(SUBSTITUTE(SUBSTITUTE(SUBSTITUTE(Table1[[#This Row],[Tanggal]],"Jan", "Jan"),"Feb","Feb"),"Mar","Mar"),"Apr","Apr"),"Mei","May"),"Jun","Jun"),"Jul","Jul"),"Agu","Aug"),"Sep","Sep"),"Okt","Oct"),"Nov","Nov"),"Des","Dec"))</f>
        <v>46827</v>
      </c>
      <c r="N195" t="str">
        <f>Table1[[#This Row],[ID_Transaksi]]</f>
        <v>INV-1194</v>
      </c>
      <c r="O195" s="5" t="str">
        <f>PROPER(TRIM(SUBSTITUTE(Table1[[#This Row],[Nama_Toko]],"""","")))</f>
        <v>Toko Rajin</v>
      </c>
      <c r="P195" s="3" t="str">
        <f>PROPER(TRIM(Table1[[#This Row],[Kategori_Produk]]))</f>
        <v>Makanan</v>
      </c>
      <c r="Q195" t="str">
        <f>PROPER(TRIM(Table1[Nama Produk]))</f>
        <v>Beras Merah Organik</v>
      </c>
      <c r="R195">
        <f>Table1[[#This Row],[Qty]]</f>
        <v>5</v>
      </c>
      <c r="S195" t="str">
        <f>SUBSTITUTE(SUBSTITUTE(Table1[[#This Row],[Harga_Satuan]],"Rp.",""),".","")</f>
        <v>80000</v>
      </c>
      <c r="T195">
        <f>Table1[[#This Row],[Total_Penjualan]]</f>
        <v>400000</v>
      </c>
      <c r="U195" t="str">
        <f>PROPER(Table1[[#This Row],[Kota]])</f>
        <v>Denpasar</v>
      </c>
      <c r="V195" t="str">
        <f>PROPER(Table1[[#This Row],[Metode_Pembayaran]])</f>
        <v>Kartu Debit</v>
      </c>
    </row>
    <row r="196" spans="1:22" x14ac:dyDescent="0.25">
      <c r="A196" s="7" t="s">
        <v>1479</v>
      </c>
      <c r="B196" s="3" t="s">
        <v>650</v>
      </c>
      <c r="C196" s="3" t="s">
        <v>1178</v>
      </c>
      <c r="D196" s="3" t="s">
        <v>43</v>
      </c>
      <c r="E196" s="3" t="s">
        <v>651</v>
      </c>
      <c r="F196" s="3">
        <v>2</v>
      </c>
      <c r="G196" s="3">
        <v>250000</v>
      </c>
      <c r="H196" s="3">
        <v>500000</v>
      </c>
      <c r="I196" s="3" t="s">
        <v>978</v>
      </c>
      <c r="J196" s="4" t="s">
        <v>880</v>
      </c>
      <c r="M196" s="10">
        <f>DATEVALUE(SUBSTITUTE(SUBSTITUTE(SUBSTITUTE(SUBSTITUTE(SUBSTITUTE(SUBSTITUTE(SUBSTITUTE(SUBSTITUTE(SUBSTITUTE(SUBSTITUTE(SUBSTITUTE(SUBSTITUTE(Table1[[#This Row],[Tanggal]],"Jan", "Jan"),"Feb","Feb"),"Mar","Mar"),"Apr","Apr"),"Mei","May"),"Jun","Jun"),"Jul","Jul"),"Agu","Aug"),"Sep","Sep"),"Okt","Oct"),"Nov","Nov"),"Des","Dec"))</f>
        <v>46837</v>
      </c>
      <c r="N196" t="str">
        <f>Table1[[#This Row],[ID_Transaksi]]</f>
        <v>TRX-1195</v>
      </c>
      <c r="O196" s="5" t="str">
        <f>PROPER(TRIM(SUBSTITUTE(Table1[[#This Row],[Nama_Toko]],"""","")))</f>
        <v>Pasar Jumat Berkah</v>
      </c>
      <c r="P196" s="3" t="str">
        <f>PROPER(TRIM(Table1[[#This Row],[Kategori_Produk]]))</f>
        <v>Pakaian</v>
      </c>
      <c r="Q196" t="str">
        <f>PROPER(TRIM(Table1[Nama Produk]))</f>
        <v>Kaftan Muslim Wanita</v>
      </c>
      <c r="R196">
        <f>Table1[[#This Row],[Qty]]</f>
        <v>2</v>
      </c>
      <c r="S196" t="str">
        <f>SUBSTITUTE(SUBSTITUTE(Table1[[#This Row],[Harga_Satuan]],"Rp.",""),".","")</f>
        <v>250000</v>
      </c>
      <c r="T196">
        <f>Table1[[#This Row],[Total_Penjualan]]</f>
        <v>500000</v>
      </c>
      <c r="U196" t="str">
        <f>PROPER(Table1[[#This Row],[Kota]])</f>
        <v>Jakarta</v>
      </c>
      <c r="V196" t="str">
        <f>PROPER(Table1[[#This Row],[Metode_Pembayaran]])</f>
        <v>Tunai</v>
      </c>
    </row>
    <row r="197" spans="1:22" x14ac:dyDescent="0.25">
      <c r="A197" s="8" t="s">
        <v>1480</v>
      </c>
      <c r="B197" s="5" t="s">
        <v>652</v>
      </c>
      <c r="C197" s="5" t="s">
        <v>1180</v>
      </c>
      <c r="D197" s="5" t="s">
        <v>901</v>
      </c>
      <c r="E197" s="5" t="s">
        <v>653</v>
      </c>
      <c r="F197" s="5">
        <v>3</v>
      </c>
      <c r="G197" s="5">
        <v>70000</v>
      </c>
      <c r="H197" s="5">
        <v>210000</v>
      </c>
      <c r="I197" s="5" t="s">
        <v>899</v>
      </c>
      <c r="J197" s="6" t="s">
        <v>29</v>
      </c>
      <c r="M197" s="10">
        <f>DATEVALUE(SUBSTITUTE(SUBSTITUTE(SUBSTITUTE(SUBSTITUTE(SUBSTITUTE(SUBSTITUTE(SUBSTITUTE(SUBSTITUTE(SUBSTITUTE(SUBSTITUTE(SUBSTITUTE(SUBSTITUTE(Table1[[#This Row],[Tanggal]],"Jan", "Jan"),"Feb","Feb"),"Mar","Mar"),"Apr","Apr"),"Mei","May"),"Jun","Jun"),"Jul","Jul"),"Agu","Aug"),"Sep","Sep"),"Okt","Oct"),"Nov","Nov"),"Des","Dec"))</f>
        <v>46848</v>
      </c>
      <c r="N197" t="str">
        <f>Table1[[#This Row],[ID_Transaksi]]</f>
        <v>INV-1196</v>
      </c>
      <c r="O197" s="5" t="str">
        <f>PROPER(TRIM(SUBSTITUTE(Table1[[#This Row],[Nama_Toko]],"""","")))</f>
        <v>Minimarket Adil</v>
      </c>
      <c r="P197" s="3" t="str">
        <f>PROPER(TRIM(Table1[[#This Row],[Kategori_Produk]]))</f>
        <v>Mainan</v>
      </c>
      <c r="Q197" t="str">
        <f>PROPER(TRIM(Table1[Nama Produk]))</f>
        <v>Set Mainan Pemadam Kebakaran</v>
      </c>
      <c r="R197">
        <f>Table1[[#This Row],[Qty]]</f>
        <v>3</v>
      </c>
      <c r="S197" t="str">
        <f>SUBSTITUTE(SUBSTITUTE(Table1[[#This Row],[Harga_Satuan]],"Rp.",""),".","")</f>
        <v>70000</v>
      </c>
      <c r="T197">
        <f>Table1[[#This Row],[Total_Penjualan]]</f>
        <v>210000</v>
      </c>
      <c r="U197" t="str">
        <f>PROPER(Table1[[#This Row],[Kota]])</f>
        <v>Medan</v>
      </c>
      <c r="V197" t="str">
        <f>PROPER(Table1[[#This Row],[Metode_Pembayaran]])</f>
        <v>Kartu Kredit</v>
      </c>
    </row>
    <row r="198" spans="1:22" x14ac:dyDescent="0.25">
      <c r="A198" s="7" t="s">
        <v>1481</v>
      </c>
      <c r="B198" s="3" t="s">
        <v>654</v>
      </c>
      <c r="C198" s="3" t="s">
        <v>1181</v>
      </c>
      <c r="D198" s="3" t="s">
        <v>12</v>
      </c>
      <c r="E198" s="3" t="s">
        <v>656</v>
      </c>
      <c r="F198" s="3">
        <v>12</v>
      </c>
      <c r="G198" s="3">
        <v>15000</v>
      </c>
      <c r="H198" s="3">
        <v>180000</v>
      </c>
      <c r="I198" s="3" t="s">
        <v>958</v>
      </c>
      <c r="J198" s="4" t="s">
        <v>893</v>
      </c>
      <c r="M198" s="10">
        <f>DATEVALUE(SUBSTITUTE(SUBSTITUTE(SUBSTITUTE(SUBSTITUTE(SUBSTITUTE(SUBSTITUTE(SUBSTITUTE(SUBSTITUTE(SUBSTITUTE(SUBSTITUTE(SUBSTITUTE(SUBSTITUTE(Table1[[#This Row],[Tanggal]],"Jan", "Jan"),"Feb","Feb"),"Mar","Mar"),"Apr","Apr"),"Mei","May"),"Jun","Jun"),"Jul","Jul"),"Agu","Aug"),"Sep","Sep"),"Okt","Oct"),"Nov","Nov"),"Des","Dec"))</f>
        <v>46858</v>
      </c>
      <c r="N198" t="str">
        <f>Table1[[#This Row],[ID_Transaksi]]</f>
        <v>TRX-1197</v>
      </c>
      <c r="O198" s="5" t="str">
        <f>PROPER(TRIM(SUBSTITUTE(Table1[[#This Row],[Nama_Toko]],"""","")))</f>
        <v>Toko Nyata</v>
      </c>
      <c r="P198" s="3" t="str">
        <f>PROPER(TRIM(Table1[[#This Row],[Kategori_Produk]]))</f>
        <v>Makanan</v>
      </c>
      <c r="Q198" t="str">
        <f>PROPER(TRIM(Table1[Nama Produk]))</f>
        <v>Bubur Bayi Instan Kotak</v>
      </c>
      <c r="R198">
        <f>Table1[[#This Row],[Qty]]</f>
        <v>12</v>
      </c>
      <c r="S198" t="str">
        <f>SUBSTITUTE(SUBSTITUTE(Table1[[#This Row],[Harga_Satuan]],"Rp.",""),".","")</f>
        <v>15000</v>
      </c>
      <c r="T198">
        <f>Table1[[#This Row],[Total_Penjualan]]</f>
        <v>180000</v>
      </c>
      <c r="U198" t="str">
        <f>PROPER(Table1[[#This Row],[Kota]])</f>
        <v>Yogyakarta</v>
      </c>
      <c r="V198" t="str">
        <f>PROPER(Table1[[#This Row],[Metode_Pembayaran]])</f>
        <v>Tunai</v>
      </c>
    </row>
    <row r="199" spans="1:22" x14ac:dyDescent="0.25">
      <c r="A199" s="8" t="s">
        <v>1482</v>
      </c>
      <c r="B199" s="5" t="s">
        <v>658</v>
      </c>
      <c r="C199" s="5" t="s">
        <v>1182</v>
      </c>
      <c r="D199" s="5" t="s">
        <v>19</v>
      </c>
      <c r="E199" s="5" t="s">
        <v>659</v>
      </c>
      <c r="F199" s="5">
        <v>20</v>
      </c>
      <c r="G199" s="5">
        <v>4000</v>
      </c>
      <c r="H199" s="5">
        <v>80000</v>
      </c>
      <c r="I199" s="5" t="s">
        <v>960</v>
      </c>
      <c r="J199" s="6" t="s">
        <v>884</v>
      </c>
      <c r="M199" s="10">
        <f>DATEVALUE(SUBSTITUTE(SUBSTITUTE(SUBSTITUTE(SUBSTITUTE(SUBSTITUTE(SUBSTITUTE(SUBSTITUTE(SUBSTITUTE(SUBSTITUTE(SUBSTITUTE(SUBSTITUTE(SUBSTITUTE(Table1[[#This Row],[Tanggal]],"Jan", "Jan"),"Feb","Feb"),"Mar","Mar"),"Apr","Apr"),"Mei","May"),"Jun","Jun"),"Jul","Jul"),"Agu","Aug"),"Sep","Sep"),"Okt","Oct"),"Nov","Nov"),"Des","Dec"))</f>
        <v>46868</v>
      </c>
      <c r="N199" t="str">
        <f>Table1[[#This Row],[ID_Transaksi]]</f>
        <v>INV-1198</v>
      </c>
      <c r="O199" s="5" t="str">
        <f>PROPER(TRIM(SUBSTITUTE(Table1[[#This Row],[Nama_Toko]],"""","")))</f>
        <v>Grosir Terdepan</v>
      </c>
      <c r="P199" s="3" t="str">
        <f>PROPER(TRIM(Table1[[#This Row],[Kategori_Produk]]))</f>
        <v>Minuman</v>
      </c>
      <c r="Q199" t="str">
        <f>PROPER(TRIM(Table1[Nama Produk]))</f>
        <v>Teh Tarik Instan Sachet</v>
      </c>
      <c r="R199">
        <f>Table1[[#This Row],[Qty]]</f>
        <v>20</v>
      </c>
      <c r="S199" t="str">
        <f>SUBSTITUTE(SUBSTITUTE(Table1[[#This Row],[Harga_Satuan]],"Rp.",""),".","")</f>
        <v>4000</v>
      </c>
      <c r="T199">
        <f>Table1[[#This Row],[Total_Penjualan]]</f>
        <v>80000</v>
      </c>
      <c r="U199" t="str">
        <f>PROPER(Table1[[#This Row],[Kota]])</f>
        <v>Malang</v>
      </c>
      <c r="V199" t="str">
        <f>PROPER(Table1[[#This Row],[Metode_Pembayaran]])</f>
        <v>Kartu Debit</v>
      </c>
    </row>
    <row r="200" spans="1:22" x14ac:dyDescent="0.25">
      <c r="A200" s="7" t="s">
        <v>1483</v>
      </c>
      <c r="B200" s="3" t="s">
        <v>660</v>
      </c>
      <c r="C200" s="3" t="s">
        <v>970</v>
      </c>
      <c r="D200" s="3" t="s">
        <v>886</v>
      </c>
      <c r="E200" s="3" t="s">
        <v>1183</v>
      </c>
      <c r="F200" s="3">
        <v>1</v>
      </c>
      <c r="G200" s="3">
        <v>90000</v>
      </c>
      <c r="H200" s="3">
        <v>90000</v>
      </c>
      <c r="I200" s="3" t="s">
        <v>883</v>
      </c>
      <c r="J200" s="4" t="s">
        <v>888</v>
      </c>
      <c r="M200" s="10">
        <f>DATEVALUE(SUBSTITUTE(SUBSTITUTE(SUBSTITUTE(SUBSTITUTE(SUBSTITUTE(SUBSTITUTE(SUBSTITUTE(SUBSTITUTE(SUBSTITUTE(SUBSTITUTE(SUBSTITUTE(SUBSTITUTE(Table1[[#This Row],[Tanggal]],"Jan", "Jan"),"Feb","Feb"),"Mar","Mar"),"Apr","Apr"),"Mei","May"),"Jun","Jun"),"Jul","Jul"),"Agu","Aug"),"Sep","Sep"),"Okt","Oct"),"Nov","Nov"),"Des","Dec"))</f>
        <v>46874</v>
      </c>
      <c r="N200" t="str">
        <f>Table1[[#This Row],[ID_Transaksi]]</f>
        <v>TRX-1199</v>
      </c>
      <c r="O200" s="5" t="str">
        <f>PROPER(TRIM(SUBSTITUTE(Table1[[#This Row],[Nama_Toko]],"""","")))</f>
        <v>Warung Sehat</v>
      </c>
      <c r="P200" s="3" t="str">
        <f>PROPER(TRIM(Table1[[#This Row],[Kategori_Produk]]))</f>
        <v>Elektronik</v>
      </c>
      <c r="Q200" t="str">
        <f>PROPER(TRIM(Table1[Nama Produk]))</f>
        <v>Webcam Hd</v>
      </c>
      <c r="R200">
        <f>Table1[[#This Row],[Qty]]</f>
        <v>1</v>
      </c>
      <c r="S200" t="str">
        <f>SUBSTITUTE(SUBSTITUTE(Table1[[#This Row],[Harga_Satuan]],"Rp.",""),".","")</f>
        <v>90000</v>
      </c>
      <c r="T200">
        <f>Table1[[#This Row],[Total_Penjualan]]</f>
        <v>90000</v>
      </c>
      <c r="U200" t="str">
        <f>PROPER(Table1[[#This Row],[Kota]])</f>
        <v>Bandung</v>
      </c>
      <c r="V200" t="str">
        <f>PROPER(Table1[[#This Row],[Metode_Pembayaran]])</f>
        <v>Kartu Kredit</v>
      </c>
    </row>
    <row r="201" spans="1:22" x14ac:dyDescent="0.25">
      <c r="A201" s="8" t="s">
        <v>1179</v>
      </c>
      <c r="B201" s="3" t="s">
        <v>662</v>
      </c>
      <c r="C201" s="5" t="s">
        <v>1184</v>
      </c>
      <c r="D201" s="5" t="s">
        <v>890</v>
      </c>
      <c r="E201" s="5" t="s">
        <v>663</v>
      </c>
      <c r="F201" s="5">
        <v>2</v>
      </c>
      <c r="G201" s="5">
        <v>85000</v>
      </c>
      <c r="H201" s="5">
        <v>170000</v>
      </c>
      <c r="I201" s="5" t="s">
        <v>919</v>
      </c>
      <c r="J201" s="6" t="s">
        <v>893</v>
      </c>
      <c r="M201" s="10">
        <f>DATEVALUE(SUBSTITUTE(SUBSTITUTE(SUBSTITUTE(SUBSTITUTE(SUBSTITUTE(SUBSTITUTE(SUBSTITUTE(SUBSTITUTE(SUBSTITUTE(SUBSTITUTE(SUBSTITUTE(SUBSTITUTE(Table1[[#This Row],[Tanggal]],"Jan", "Jan"),"Feb","Feb"),"Mar","Mar"),"Apr","Apr"),"Mei","May"),"Jun","Jun"),"Jul","Jul"),"Agu","Aug"),"Sep","Sep"),"Okt","Oct"),"Nov","Nov"),"Des","Dec"))</f>
        <v>46883</v>
      </c>
      <c r="N201" t="str">
        <f>Table1[[#This Row],[ID_Transaksi]]</f>
        <v>TRX-1200</v>
      </c>
      <c r="O201" s="5" t="str">
        <f>PROPER(TRIM(SUBSTITUTE(Table1[[#This Row],[Nama_Toko]],"""","")))</f>
        <v>Gudang Cepat</v>
      </c>
      <c r="P201" s="3" t="str">
        <f>PROPER(TRIM(Table1[[#This Row],[Kategori_Produk]]))</f>
        <v>Kecantikan</v>
      </c>
      <c r="Q201" t="str">
        <f>PROPER(TRIM(Table1[Nama Produk]))</f>
        <v>Hair Tonic Penyubur Rambut</v>
      </c>
      <c r="R201">
        <f>Table1[[#This Row],[Qty]]</f>
        <v>2</v>
      </c>
      <c r="S201" t="str">
        <f>SUBSTITUTE(SUBSTITUTE(Table1[[#This Row],[Harga_Satuan]],"Rp.",""),".","")</f>
        <v>85000</v>
      </c>
      <c r="T201">
        <f>Table1[[#This Row],[Total_Penjualan]]</f>
        <v>170000</v>
      </c>
      <c r="U201" t="str">
        <f>PROPER(Table1[[#This Row],[Kota]])</f>
        <v>Semarang</v>
      </c>
      <c r="V201" t="str">
        <f>PROPER(Table1[[#This Row],[Metode_Pembayaran]])</f>
        <v>Tunai</v>
      </c>
    </row>
    <row r="202" spans="1:22" x14ac:dyDescent="0.25">
      <c r="A202" s="7" t="s">
        <v>1484</v>
      </c>
      <c r="B202" s="3" t="s">
        <v>664</v>
      </c>
      <c r="C202" s="3" t="s">
        <v>1185</v>
      </c>
      <c r="D202" s="3" t="s">
        <v>895</v>
      </c>
      <c r="E202" s="3" t="s">
        <v>1186</v>
      </c>
      <c r="F202" s="3">
        <v>4</v>
      </c>
      <c r="G202" s="3">
        <v>50000</v>
      </c>
      <c r="H202" s="3">
        <v>200000</v>
      </c>
      <c r="I202" s="3" t="s">
        <v>965</v>
      </c>
      <c r="J202" s="4" t="s">
        <v>884</v>
      </c>
      <c r="M202" s="10">
        <f>DATEVALUE(SUBSTITUTE(SUBSTITUTE(SUBSTITUTE(SUBSTITUTE(SUBSTITUTE(SUBSTITUTE(SUBSTITUTE(SUBSTITUTE(SUBSTITUTE(SUBSTITUTE(SUBSTITUTE(SUBSTITUTE(Table1[[#This Row],[Tanggal]],"Jan", "Jan"),"Feb","Feb"),"Mar","Mar"),"Apr","Apr"),"Mei","May"),"Jun","Jun"),"Jul","Jul"),"Agu","Aug"),"Sep","Sep"),"Okt","Oct"),"Nov","Nov"),"Des","Dec"))</f>
        <v>46893</v>
      </c>
      <c r="N202" t="str">
        <f>Table1[[#This Row],[ID_Transaksi]]</f>
        <v>INV-1201</v>
      </c>
      <c r="O202" s="5" t="str">
        <f>PROPER(TRIM(SUBSTITUTE(Table1[[#This Row],[Nama_Toko]],"""","")))</f>
        <v>Toko Ramah Tamah</v>
      </c>
      <c r="P202" s="3" t="str">
        <f>PROPER(TRIM(Table1[[#This Row],[Kategori_Produk]]))</f>
        <v>Makanan</v>
      </c>
      <c r="Q202" t="str">
        <f>PROPER(TRIM(Table1[Nama Produk]))</f>
        <v>Kue Kering Natal</v>
      </c>
      <c r="R202">
        <f>Table1[[#This Row],[Qty]]</f>
        <v>4</v>
      </c>
      <c r="S202" t="str">
        <f>SUBSTITUTE(SUBSTITUTE(Table1[[#This Row],[Harga_Satuan]],"Rp.",""),".","")</f>
        <v>50000</v>
      </c>
      <c r="T202">
        <f>Table1[[#This Row],[Total_Penjualan]]</f>
        <v>200000</v>
      </c>
      <c r="U202" t="str">
        <f>PROPER(Table1[[#This Row],[Kota]])</f>
        <v>Surabaya</v>
      </c>
      <c r="V202" t="str">
        <f>PROPER(Table1[[#This Row],[Metode_Pembayaran]])</f>
        <v>Kartu Debit</v>
      </c>
    </row>
    <row r="203" spans="1:22" x14ac:dyDescent="0.25">
      <c r="A203" s="8" t="s">
        <v>1485</v>
      </c>
      <c r="B203" s="5" t="s">
        <v>667</v>
      </c>
      <c r="C203" s="5" t="s">
        <v>938</v>
      </c>
      <c r="D203" s="5" t="s">
        <v>43</v>
      </c>
      <c r="E203" s="5" t="s">
        <v>668</v>
      </c>
      <c r="F203" s="5">
        <v>1</v>
      </c>
      <c r="G203" s="5">
        <v>75000</v>
      </c>
      <c r="H203" s="5">
        <v>75000</v>
      </c>
      <c r="I203" s="5" t="s">
        <v>937</v>
      </c>
      <c r="J203" s="6" t="s">
        <v>880</v>
      </c>
      <c r="M203" s="10">
        <f>DATEVALUE(SUBSTITUTE(SUBSTITUTE(SUBSTITUTE(SUBSTITUTE(SUBSTITUTE(SUBSTITUTE(SUBSTITUTE(SUBSTITUTE(SUBSTITUTE(SUBSTITUTE(SUBSTITUTE(SUBSTITUTE(Table1[[#This Row],[Tanggal]],"Jan", "Jan"),"Feb","Feb"),"Mar","Mar"),"Apr","Apr"),"Mei","May"),"Jun","Jun"),"Jul","Jul"),"Agu","Aug"),"Sep","Sep"),"Okt","Oct"),"Nov","Nov"),"Des","Dec"))</f>
        <v>46905</v>
      </c>
      <c r="N203" t="str">
        <f>Table1[[#This Row],[ID_Transaksi]]</f>
        <v>TRX-1202</v>
      </c>
      <c r="O203" s="5" t="str">
        <f>PROPER(TRIM(SUBSTITUTE(Table1[[#This Row],[Nama_Toko]],"""","")))</f>
        <v>Pasar Malam</v>
      </c>
      <c r="P203" s="3" t="str">
        <f>PROPER(TRIM(Table1[[#This Row],[Kategori_Produk]]))</f>
        <v>Pakaian</v>
      </c>
      <c r="Q203" t="str">
        <f>PROPER(TRIM(Table1[Nama Produk]))</f>
        <v>Dasi Pria Motif</v>
      </c>
      <c r="R203">
        <f>Table1[[#This Row],[Qty]]</f>
        <v>1</v>
      </c>
      <c r="S203" t="str">
        <f>SUBSTITUTE(SUBSTITUTE(Table1[[#This Row],[Harga_Satuan]],"Rp.",""),".","")</f>
        <v>75000</v>
      </c>
      <c r="T203">
        <f>Table1[[#This Row],[Total_Penjualan]]</f>
        <v>75000</v>
      </c>
      <c r="U203" t="str">
        <f>PROPER(Table1[[#This Row],[Kota]])</f>
        <v>Depok</v>
      </c>
      <c r="V203" t="str">
        <f>PROPER(Table1[[#This Row],[Metode_Pembayaran]])</f>
        <v>Tunai</v>
      </c>
    </row>
    <row r="204" spans="1:22" x14ac:dyDescent="0.25">
      <c r="A204" s="7" t="s">
        <v>1486</v>
      </c>
      <c r="B204" s="3" t="s">
        <v>669</v>
      </c>
      <c r="C204" s="3" t="s">
        <v>1187</v>
      </c>
      <c r="D204" s="3" t="s">
        <v>901</v>
      </c>
      <c r="E204" s="3" t="s">
        <v>670</v>
      </c>
      <c r="F204" s="3">
        <v>1</v>
      </c>
      <c r="G204" s="3">
        <v>350000</v>
      </c>
      <c r="H204" s="3">
        <v>350000</v>
      </c>
      <c r="I204" s="3" t="s">
        <v>968</v>
      </c>
      <c r="J204" s="4" t="s">
        <v>29</v>
      </c>
      <c r="M204" s="10">
        <f>DATEVALUE(SUBSTITUTE(SUBSTITUTE(SUBSTITUTE(SUBSTITUTE(SUBSTITUTE(SUBSTITUTE(SUBSTITUTE(SUBSTITUTE(SUBSTITUTE(SUBSTITUTE(SUBSTITUTE(SUBSTITUTE(Table1[[#This Row],[Tanggal]],"Jan", "Jan"),"Feb","Feb"),"Mar","Mar"),"Apr","Apr"),"Mei","May"),"Jun","Jun"),"Jul","Jul"),"Agu","Aug"),"Sep","Sep"),"Okt","Oct"),"Nov","Nov"),"Des","Dec"))</f>
        <v>46919</v>
      </c>
      <c r="N204" t="str">
        <f>Table1[[#This Row],[ID_Transaksi]]</f>
        <v>INV-1203</v>
      </c>
      <c r="O204" s="5" t="str">
        <f>PROPER(TRIM(SUBSTITUTE(Table1[[#This Row],[Nama_Toko]],"""","")))</f>
        <v>Minimarket Pagi</v>
      </c>
      <c r="P204" s="3" t="str">
        <f>PROPER(TRIM(Table1[[#This Row],[Kategori_Produk]]))</f>
        <v>Mainan</v>
      </c>
      <c r="Q204" t="str">
        <f>PROPER(TRIM(Table1[Nama Produk]))</f>
        <v>Mainan Robot Interaktif</v>
      </c>
      <c r="R204">
        <f>Table1[[#This Row],[Qty]]</f>
        <v>1</v>
      </c>
      <c r="S204" t="str">
        <f>SUBSTITUTE(SUBSTITUTE(Table1[[#This Row],[Harga_Satuan]],"Rp.",""),".","")</f>
        <v>350000</v>
      </c>
      <c r="T204">
        <f>Table1[[#This Row],[Total_Penjualan]]</f>
        <v>350000</v>
      </c>
      <c r="U204" t="str">
        <f>PROPER(Table1[[#This Row],[Kota]])</f>
        <v>Jakarta Selatan</v>
      </c>
      <c r="V204" t="str">
        <f>PROPER(Table1[[#This Row],[Metode_Pembayaran]])</f>
        <v>Kartu Kredit</v>
      </c>
    </row>
    <row r="205" spans="1:22" x14ac:dyDescent="0.25">
      <c r="A205" s="8" t="s">
        <v>1487</v>
      </c>
      <c r="B205" s="5" t="s">
        <v>671</v>
      </c>
      <c r="C205" s="5" t="s">
        <v>1188</v>
      </c>
      <c r="D205" s="5" t="s">
        <v>12</v>
      </c>
      <c r="E205" s="5" t="s">
        <v>673</v>
      </c>
      <c r="F205" s="5">
        <v>6</v>
      </c>
      <c r="G205" s="5">
        <v>17000</v>
      </c>
      <c r="H205" s="5">
        <v>102000</v>
      </c>
      <c r="I205" s="5" t="s">
        <v>915</v>
      </c>
      <c r="J205" s="6" t="s">
        <v>893</v>
      </c>
      <c r="M205" s="10">
        <f>DATEVALUE(SUBSTITUTE(SUBSTITUTE(SUBSTITUTE(SUBSTITUTE(SUBSTITUTE(SUBSTITUTE(SUBSTITUTE(SUBSTITUTE(SUBSTITUTE(SUBSTITUTE(SUBSTITUTE(SUBSTITUTE(Table1[[#This Row],[Tanggal]],"Jan", "Jan"),"Feb","Feb"),"Mar","Mar"),"Apr","Apr"),"Mei","May"),"Jun","Jun"),"Jul","Jul"),"Agu","Aug"),"Sep","Sep"),"Okt","Oct"),"Nov","Nov"),"Des","Dec"))</f>
        <v>46929</v>
      </c>
      <c r="N205" t="str">
        <f>Table1[[#This Row],[ID_Transaksi]]</f>
        <v>TRX-1204</v>
      </c>
      <c r="O205" s="5" t="str">
        <f>PROPER(TRIM(SUBSTITUTE(Table1[[#This Row],[Nama_Toko]],"""","")))</f>
        <v>Toko Pertiwi</v>
      </c>
      <c r="P205" s="3" t="str">
        <f>PROPER(TRIM(Table1[[#This Row],[Kategori_Produk]]))</f>
        <v>Makanan</v>
      </c>
      <c r="Q205" t="str">
        <f>PROPER(TRIM(Table1[Nama Produk]))</f>
        <v>Kripik Ubi Ungu</v>
      </c>
      <c r="R205">
        <f>Table1[[#This Row],[Qty]]</f>
        <v>6</v>
      </c>
      <c r="S205" t="str">
        <f>SUBSTITUTE(SUBSTITUTE(Table1[[#This Row],[Harga_Satuan]],"Rp.",""),".","")</f>
        <v>17000</v>
      </c>
      <c r="T205">
        <f>Table1[[#This Row],[Total_Penjualan]]</f>
        <v>102000</v>
      </c>
      <c r="U205" t="str">
        <f>PROPER(Table1[[#This Row],[Kota]])</f>
        <v>Medan</v>
      </c>
      <c r="V205" t="str">
        <f>PROPER(Table1[[#This Row],[Metode_Pembayaran]])</f>
        <v>Tunai</v>
      </c>
    </row>
    <row r="206" spans="1:22" x14ac:dyDescent="0.25">
      <c r="A206" s="7" t="s">
        <v>1488</v>
      </c>
      <c r="B206" s="3" t="s">
        <v>674</v>
      </c>
      <c r="C206" s="3" t="s">
        <v>1190</v>
      </c>
      <c r="D206" s="3" t="s">
        <v>19</v>
      </c>
      <c r="E206" s="3" t="s">
        <v>675</v>
      </c>
      <c r="F206" s="3">
        <v>5</v>
      </c>
      <c r="G206" s="3">
        <v>13000</v>
      </c>
      <c r="H206" s="3">
        <v>65000</v>
      </c>
      <c r="I206" s="3" t="s">
        <v>913</v>
      </c>
      <c r="J206" s="4" t="s">
        <v>884</v>
      </c>
      <c r="M206" s="10">
        <f>DATEVALUE(SUBSTITUTE(SUBSTITUTE(SUBSTITUTE(SUBSTITUTE(SUBSTITUTE(SUBSTITUTE(SUBSTITUTE(SUBSTITUTE(SUBSTITUTE(SUBSTITUTE(SUBSTITUTE(SUBSTITUTE(Table1[[#This Row],[Tanggal]],"Jan", "Jan"),"Feb","Feb"),"Mar","Mar"),"Apr","Apr"),"Mei","May"),"Jun","Jun"),"Jul","Jul"),"Agu","Aug"),"Sep","Sep"),"Okt","Oct"),"Nov","Nov"),"Des","Dec"))</f>
        <v>46939</v>
      </c>
      <c r="N206" t="str">
        <f>Table1[[#This Row],[ID_Transaksi]]</f>
        <v>INV-1205</v>
      </c>
      <c r="O206" s="5" t="str">
        <f>PROPER(TRIM(SUBSTITUTE(Table1[[#This Row],[Nama_Toko]],"""","")))</f>
        <v>Grosir Utama</v>
      </c>
      <c r="P206" s="3" t="str">
        <f>PROPER(TRIM(Table1[[#This Row],[Kategori_Produk]]))</f>
        <v>Minuman</v>
      </c>
      <c r="Q206" t="str">
        <f>PROPER(TRIM(Table1[Nama Produk]))</f>
        <v>Kopi Latte Botol</v>
      </c>
      <c r="R206">
        <f>Table1[[#This Row],[Qty]]</f>
        <v>5</v>
      </c>
      <c r="S206" t="str">
        <f>SUBSTITUTE(SUBSTITUTE(Table1[[#This Row],[Harga_Satuan]],"Rp.",""),".","")</f>
        <v>13000</v>
      </c>
      <c r="T206">
        <f>Table1[[#This Row],[Total_Penjualan]]</f>
        <v>65000</v>
      </c>
      <c r="U206" t="str">
        <f>PROPER(Table1[[#This Row],[Kota]])</f>
        <v>Yogyakarta</v>
      </c>
      <c r="V206" t="str">
        <f>PROPER(Table1[[#This Row],[Metode_Pembayaran]])</f>
        <v>Kartu Debit</v>
      </c>
    </row>
    <row r="207" spans="1:22" x14ac:dyDescent="0.25">
      <c r="A207" s="8" t="s">
        <v>1489</v>
      </c>
      <c r="B207" s="5" t="s">
        <v>677</v>
      </c>
      <c r="C207" s="5" t="s">
        <v>1191</v>
      </c>
      <c r="D207" s="5" t="s">
        <v>886</v>
      </c>
      <c r="E207" s="5" t="s">
        <v>1192</v>
      </c>
      <c r="F207" s="5">
        <v>1</v>
      </c>
      <c r="G207" s="5">
        <v>250000</v>
      </c>
      <c r="H207" s="5">
        <v>250000</v>
      </c>
      <c r="I207" s="5" t="s">
        <v>996</v>
      </c>
      <c r="J207" s="6" t="s">
        <v>888</v>
      </c>
      <c r="M207" s="10">
        <f>DATEVALUE(SUBSTITUTE(SUBSTITUTE(SUBSTITUTE(SUBSTITUTE(SUBSTITUTE(SUBSTITUTE(SUBSTITUTE(SUBSTITUTE(SUBSTITUTE(SUBSTITUTE(SUBSTITUTE(SUBSTITUTE(Table1[[#This Row],[Tanggal]],"Jan", "Jan"),"Feb","Feb"),"Mar","Mar"),"Apr","Apr"),"Mei","May"),"Jun","Jun"),"Jul","Jul"),"Agu","Aug"),"Sep","Sep"),"Okt","Oct"),"Nov","Nov"),"Des","Dec"))</f>
        <v>46949</v>
      </c>
      <c r="N207" t="str">
        <f>Table1[[#This Row],[ID_Transaksi]]</f>
        <v>TRX-1206</v>
      </c>
      <c r="O207" s="5" t="str">
        <f>PROPER(TRIM(SUBSTITUTE(Table1[[#This Row],[Nama_Toko]],"""","")))</f>
        <v>Warung Barat</v>
      </c>
      <c r="P207" s="3" t="str">
        <f>PROPER(TRIM(Table1[[#This Row],[Kategori_Produk]]))</f>
        <v>Elektronik</v>
      </c>
      <c r="Q207" t="str">
        <f>PROPER(TRIM(Table1[Nama Produk]))</f>
        <v>Power Bank 20000Mah</v>
      </c>
      <c r="R207">
        <f>Table1[[#This Row],[Qty]]</f>
        <v>1</v>
      </c>
      <c r="S207" t="str">
        <f>SUBSTITUTE(SUBSTITUTE(Table1[[#This Row],[Harga_Satuan]],"Rp.",""),".","")</f>
        <v>250000</v>
      </c>
      <c r="T207">
        <f>Table1[[#This Row],[Total_Penjualan]]</f>
        <v>250000</v>
      </c>
      <c r="U207" t="str">
        <f>PROPER(Table1[[#This Row],[Kota]])</f>
        <v>Malang</v>
      </c>
      <c r="V207" t="str">
        <f>PROPER(Table1[[#This Row],[Metode_Pembayaran]])</f>
        <v>Kartu Kredit</v>
      </c>
    </row>
    <row r="208" spans="1:22" x14ac:dyDescent="0.25">
      <c r="A208" s="7" t="s">
        <v>1490</v>
      </c>
      <c r="B208" s="3" t="s">
        <v>680</v>
      </c>
      <c r="C208" s="3" t="s">
        <v>1193</v>
      </c>
      <c r="D208" s="3" t="s">
        <v>890</v>
      </c>
      <c r="E208" s="3" t="s">
        <v>681</v>
      </c>
      <c r="F208" s="3">
        <v>8</v>
      </c>
      <c r="G208" s="3">
        <v>30000</v>
      </c>
      <c r="H208" s="3">
        <v>240000</v>
      </c>
      <c r="I208" s="3" t="s">
        <v>21</v>
      </c>
      <c r="J208" s="4" t="s">
        <v>893</v>
      </c>
      <c r="M208" s="10">
        <f>DATEVALUE(SUBSTITUTE(SUBSTITUTE(SUBSTITUTE(SUBSTITUTE(SUBSTITUTE(SUBSTITUTE(SUBSTITUTE(SUBSTITUTE(SUBSTITUTE(SUBSTITUTE(SUBSTITUTE(SUBSTITUTE(Table1[[#This Row],[Tanggal]],"Jan", "Jan"),"Feb","Feb"),"Mar","Mar"),"Apr","Apr"),"Mei","May"),"Jun","Jun"),"Jul","Jul"),"Agu","Aug"),"Sep","Sep"),"Okt","Oct"),"Nov","Nov"),"Des","Dec"))</f>
        <v>46959</v>
      </c>
      <c r="N208" t="str">
        <f>Table1[[#This Row],[ID_Transaksi]]</f>
        <v>INV-1207</v>
      </c>
      <c r="O208" s="5" t="str">
        <f>PROPER(TRIM(SUBSTITUTE(Table1[[#This Row],[Nama_Toko]],"""","")))</f>
        <v>Gudang Baru Lagi</v>
      </c>
      <c r="P208" s="3" t="str">
        <f>PROPER(TRIM(Table1[[#This Row],[Kategori_Produk]]))</f>
        <v>Kecantikan</v>
      </c>
      <c r="Q208" t="str">
        <f>PROPER(TRIM(Table1[Nama Produk]))</f>
        <v>Body Mist Aroma Segar</v>
      </c>
      <c r="R208">
        <f>Table1[[#This Row],[Qty]]</f>
        <v>8</v>
      </c>
      <c r="S208" t="str">
        <f>SUBSTITUTE(SUBSTITUTE(Table1[[#This Row],[Harga_Satuan]],"Rp.",""),".","")</f>
        <v>30000</v>
      </c>
      <c r="T208">
        <f>Table1[[#This Row],[Total_Penjualan]]</f>
        <v>240000</v>
      </c>
      <c r="U208" t="str">
        <f>PROPER(Table1[[#This Row],[Kota]])</f>
        <v>Bandung</v>
      </c>
      <c r="V208" t="str">
        <f>PROPER(Table1[[#This Row],[Metode_Pembayaran]])</f>
        <v>Tunai</v>
      </c>
    </row>
    <row r="209" spans="1:22" x14ac:dyDescent="0.25">
      <c r="A209" s="8" t="s">
        <v>1491</v>
      </c>
      <c r="B209" s="5" t="s">
        <v>682</v>
      </c>
      <c r="C209" s="5" t="s">
        <v>1194</v>
      </c>
      <c r="D209" s="5" t="s">
        <v>895</v>
      </c>
      <c r="E209" s="5" t="s">
        <v>1195</v>
      </c>
      <c r="F209" s="5">
        <v>2</v>
      </c>
      <c r="G209" s="5">
        <v>45000</v>
      </c>
      <c r="H209" s="5">
        <v>90000</v>
      </c>
      <c r="I209" s="5" t="s">
        <v>53</v>
      </c>
      <c r="J209" s="6" t="s">
        <v>884</v>
      </c>
      <c r="M209" s="10">
        <f>DATEVALUE(SUBSTITUTE(SUBSTITUTE(SUBSTITUTE(SUBSTITUTE(SUBSTITUTE(SUBSTITUTE(SUBSTITUTE(SUBSTITUTE(SUBSTITUTE(SUBSTITUTE(SUBSTITUTE(SUBSTITUTE(Table1[[#This Row],[Tanggal]],"Jan", "Jan"),"Feb","Feb"),"Mar","Mar"),"Apr","Apr"),"Mei","May"),"Jun","Jun"),"Jul","Jul"),"Agu","Aug"),"Sep","Sep"),"Okt","Oct"),"Nov","Nov"),"Des","Dec"))</f>
        <v>46966</v>
      </c>
      <c r="N209" t="str">
        <f>Table1[[#This Row],[ID_Transaksi]]</f>
        <v>TRX-1208</v>
      </c>
      <c r="O209" s="5" t="str">
        <f>PROPER(TRIM(SUBSTITUTE(Table1[[#This Row],[Nama_Toko]],"""","")))</f>
        <v>Toko Keren</v>
      </c>
      <c r="P209" s="3" t="str">
        <f>PROPER(TRIM(Table1[[#This Row],[Kategori_Produk]]))</f>
        <v>Makanan</v>
      </c>
      <c r="Q209" t="str">
        <f>PROPER(TRIM(Table1[Nama Produk]))</f>
        <v>Minyak Wijen 250Ml</v>
      </c>
      <c r="R209">
        <f>Table1[[#This Row],[Qty]]</f>
        <v>2</v>
      </c>
      <c r="S209" t="str">
        <f>SUBSTITUTE(SUBSTITUTE(Table1[[#This Row],[Harga_Satuan]],"Rp.",""),".","")</f>
        <v>45000</v>
      </c>
      <c r="T209">
        <f>Table1[[#This Row],[Total_Penjualan]]</f>
        <v>90000</v>
      </c>
      <c r="U209" t="str">
        <f>PROPER(Table1[[#This Row],[Kota]])</f>
        <v>Semarang</v>
      </c>
      <c r="V209" t="str">
        <f>PROPER(Table1[[#This Row],[Metode_Pembayaran]])</f>
        <v>Kartu Debit</v>
      </c>
    </row>
    <row r="210" spans="1:22" x14ac:dyDescent="0.25">
      <c r="A210" s="7" t="s">
        <v>1189</v>
      </c>
      <c r="B210" s="3" t="s">
        <v>684</v>
      </c>
      <c r="C210" s="3" t="s">
        <v>1196</v>
      </c>
      <c r="D210" s="3" t="s">
        <v>43</v>
      </c>
      <c r="E210" s="3" t="s">
        <v>685</v>
      </c>
      <c r="F210" s="3">
        <v>4</v>
      </c>
      <c r="G210" s="3">
        <v>150000</v>
      </c>
      <c r="H210" s="3">
        <v>600000</v>
      </c>
      <c r="I210" s="3" t="s">
        <v>28</v>
      </c>
      <c r="J210" s="4" t="s">
        <v>880</v>
      </c>
      <c r="M210" s="10">
        <f>DATEVALUE(SUBSTITUTE(SUBSTITUTE(SUBSTITUTE(SUBSTITUTE(SUBSTITUTE(SUBSTITUTE(SUBSTITUTE(SUBSTITUTE(SUBSTITUTE(SUBSTITUTE(SUBSTITUTE(SUBSTITUTE(Table1[[#This Row],[Tanggal]],"Jan", "Jan"),"Feb","Feb"),"Mar","Mar"),"Apr","Apr"),"Mei","May"),"Jun","Jun"),"Jul","Jul"),"Agu","Aug"),"Sep","Sep"),"Okt","Oct"),"Nov","Nov"),"Des","Dec"))</f>
        <v>46975</v>
      </c>
      <c r="N210" t="str">
        <f>Table1[[#This Row],[ID_Transaksi]]</f>
        <v>INV-1209</v>
      </c>
      <c r="O210" s="5" t="str">
        <f>PROPER(TRIM(SUBSTITUTE(Table1[[#This Row],[Nama_Toko]],"""","")))</f>
        <v>Pasar Minggu</v>
      </c>
      <c r="P210" s="3" t="str">
        <f>PROPER(TRIM(Table1[[#This Row],[Kategori_Produk]]))</f>
        <v>Pakaian</v>
      </c>
      <c r="Q210" t="str">
        <f>PROPER(TRIM(Table1[Nama Produk]))</f>
        <v>Sarung Bantal Sofa Set</v>
      </c>
      <c r="R210">
        <f>Table1[[#This Row],[Qty]]</f>
        <v>4</v>
      </c>
      <c r="S210" t="str">
        <f>SUBSTITUTE(SUBSTITUTE(Table1[[#This Row],[Harga_Satuan]],"Rp.",""),".","")</f>
        <v>150000</v>
      </c>
      <c r="T210">
        <f>Table1[[#This Row],[Total_Penjualan]]</f>
        <v>600000</v>
      </c>
      <c r="U210" t="str">
        <f>PROPER(Table1[[#This Row],[Kota]])</f>
        <v>Surabaya</v>
      </c>
      <c r="V210" t="str">
        <f>PROPER(Table1[[#This Row],[Metode_Pembayaran]])</f>
        <v>Tunai</v>
      </c>
    </row>
    <row r="211" spans="1:22" x14ac:dyDescent="0.25">
      <c r="A211" s="8" t="s">
        <v>1492</v>
      </c>
      <c r="B211" s="5" t="s">
        <v>686</v>
      </c>
      <c r="C211" s="5" t="s">
        <v>1197</v>
      </c>
      <c r="D211" s="5" t="s">
        <v>901</v>
      </c>
      <c r="E211" s="5" t="s">
        <v>687</v>
      </c>
      <c r="F211" s="5">
        <v>10</v>
      </c>
      <c r="G211" s="5">
        <v>20000</v>
      </c>
      <c r="H211" s="5">
        <v>200000</v>
      </c>
      <c r="I211" s="5" t="s">
        <v>923</v>
      </c>
      <c r="J211" s="6" t="s">
        <v>29</v>
      </c>
      <c r="M211" s="10">
        <f>DATEVALUE(SUBSTITUTE(SUBSTITUTE(SUBSTITUTE(SUBSTITUTE(SUBSTITUTE(SUBSTITUTE(SUBSTITUTE(SUBSTITUTE(SUBSTITUTE(SUBSTITUTE(SUBSTITUTE(SUBSTITUTE(Table1[[#This Row],[Tanggal]],"Jan", "Jan"),"Feb","Feb"),"Mar","Mar"),"Apr","Apr"),"Mei","May"),"Jun","Jun"),"Jul","Jul"),"Agu","Aug"),"Sep","Sep"),"Okt","Oct"),"Nov","Nov"),"Des","Dec"))</f>
        <v>46985</v>
      </c>
      <c r="N211" t="str">
        <f>Table1[[#This Row],[ID_Transaksi]]</f>
        <v>TRX-1210</v>
      </c>
      <c r="O211" s="5" t="str">
        <f>PROPER(TRIM(SUBSTITUTE(Table1[[#This Row],[Nama_Toko]],"""","")))</f>
        <v>Minimarket Terang</v>
      </c>
      <c r="P211" s="3" t="str">
        <f>PROPER(TRIM(Table1[[#This Row],[Kategori_Produk]]))</f>
        <v>Mainan</v>
      </c>
      <c r="Q211" t="str">
        <f>PROPER(TRIM(Table1[Nama Produk]))</f>
        <v>Puzzle Bentuk Angka</v>
      </c>
      <c r="R211">
        <f>Table1[[#This Row],[Qty]]</f>
        <v>10</v>
      </c>
      <c r="S211" t="str">
        <f>SUBSTITUTE(SUBSTITUTE(Table1[[#This Row],[Harga_Satuan]],"Rp.",""),".","")</f>
        <v>20000</v>
      </c>
      <c r="T211">
        <f>Table1[[#This Row],[Total_Penjualan]]</f>
        <v>200000</v>
      </c>
      <c r="U211" t="str">
        <f>PROPER(Table1[[#This Row],[Kota]])</f>
        <v>Denpasar</v>
      </c>
      <c r="V211" t="str">
        <f>PROPER(Table1[[#This Row],[Metode_Pembayaran]])</f>
        <v>Kartu Kredit</v>
      </c>
    </row>
    <row r="212" spans="1:22" x14ac:dyDescent="0.25">
      <c r="A212" s="7" t="s">
        <v>1493</v>
      </c>
      <c r="B212" s="3" t="s">
        <v>688</v>
      </c>
      <c r="C212" s="3" t="s">
        <v>1199</v>
      </c>
      <c r="D212" s="3" t="s">
        <v>12</v>
      </c>
      <c r="E212" s="3" t="s">
        <v>689</v>
      </c>
      <c r="F212" s="3">
        <v>15</v>
      </c>
      <c r="G212" s="3">
        <v>10000</v>
      </c>
      <c r="H212" s="3">
        <v>150000</v>
      </c>
      <c r="I212" s="3" t="s">
        <v>1004</v>
      </c>
      <c r="J212" s="4" t="s">
        <v>893</v>
      </c>
      <c r="M212" s="10">
        <f>DATEVALUE(SUBSTITUTE(SUBSTITUTE(SUBSTITUTE(SUBSTITUTE(SUBSTITUTE(SUBSTITUTE(SUBSTITUTE(SUBSTITUTE(SUBSTITUTE(SUBSTITUTE(SUBSTITUTE(SUBSTITUTE(Table1[[#This Row],[Tanggal]],"Jan", "Jan"),"Feb","Feb"),"Mar","Mar"),"Apr","Apr"),"Mei","May"),"Jun","Jun"),"Jul","Jul"),"Agu","Aug"),"Sep","Sep"),"Okt","Oct"),"Nov","Nov"),"Des","Dec"))</f>
        <v>46997</v>
      </c>
      <c r="N212" t="str">
        <f>Table1[[#This Row],[ID_Transaksi]]</f>
        <v>INV-1211</v>
      </c>
      <c r="O212" s="5" t="str">
        <f>PROPER(TRIM(SUBSTITUTE(Table1[[#This Row],[Nama_Toko]],"""","")))</f>
        <v>Toko Adinda</v>
      </c>
      <c r="P212" s="3" t="str">
        <f>PROPER(TRIM(Table1[[#This Row],[Kategori_Produk]]))</f>
        <v>Makanan</v>
      </c>
      <c r="Q212" t="str">
        <f>PROPER(TRIM(Table1[Nama Produk]))</f>
        <v>Mie Telur Kering Pack</v>
      </c>
      <c r="R212">
        <f>Table1[[#This Row],[Qty]]</f>
        <v>15</v>
      </c>
      <c r="S212" t="str">
        <f>SUBSTITUTE(SUBSTITUTE(Table1[[#This Row],[Harga_Satuan]],"Rp.",""),".","")</f>
        <v>10000</v>
      </c>
      <c r="T212">
        <f>Table1[[#This Row],[Total_Penjualan]]</f>
        <v>150000</v>
      </c>
      <c r="U212" t="str">
        <f>PROPER(Table1[[#This Row],[Kota]])</f>
        <v>Jakarta</v>
      </c>
      <c r="V212" t="str">
        <f>PROPER(Table1[[#This Row],[Metode_Pembayaran]])</f>
        <v>Tunai</v>
      </c>
    </row>
    <row r="213" spans="1:22" x14ac:dyDescent="0.25">
      <c r="A213" s="8" t="s">
        <v>1494</v>
      </c>
      <c r="B213" s="5" t="s">
        <v>690</v>
      </c>
      <c r="C213" s="5" t="s">
        <v>1200</v>
      </c>
      <c r="D213" s="5" t="s">
        <v>19</v>
      </c>
      <c r="E213" s="5" t="s">
        <v>691</v>
      </c>
      <c r="F213" s="5">
        <v>7</v>
      </c>
      <c r="G213" s="5">
        <v>14000</v>
      </c>
      <c r="H213" s="5">
        <v>98000</v>
      </c>
      <c r="I213" s="5" t="s">
        <v>915</v>
      </c>
      <c r="J213" s="6" t="s">
        <v>884</v>
      </c>
      <c r="M213" s="10">
        <f>DATEVALUE(SUBSTITUTE(SUBSTITUTE(SUBSTITUTE(SUBSTITUTE(SUBSTITUTE(SUBSTITUTE(SUBSTITUTE(SUBSTITUTE(SUBSTITUTE(SUBSTITUTE(SUBSTITUTE(SUBSTITUTE(Table1[[#This Row],[Tanggal]],"Jan", "Jan"),"Feb","Feb"),"Mar","Mar"),"Apr","Apr"),"Mei","May"),"Jun","Jun"),"Jul","Jul"),"Agu","Aug"),"Sep","Sep"),"Okt","Oct"),"Nov","Nov"),"Des","Dec"))</f>
        <v>47011</v>
      </c>
      <c r="N213" t="str">
        <f>Table1[[#This Row],[ID_Transaksi]]</f>
        <v>TRX-1212</v>
      </c>
      <c r="O213" s="5" t="str">
        <f>PROPER(TRIM(SUBSTITUTE(Table1[[#This Row],[Nama_Toko]],"""","")))</f>
        <v>Grosir Sakti</v>
      </c>
      <c r="P213" s="3" t="str">
        <f>PROPER(TRIM(Table1[[#This Row],[Kategori_Produk]]))</f>
        <v>Minuman</v>
      </c>
      <c r="Q213" t="str">
        <f>PROPER(TRIM(Table1[Nama Produk]))</f>
        <v>Air Kelapa Kemasan Kotak</v>
      </c>
      <c r="R213">
        <f>Table1[[#This Row],[Qty]]</f>
        <v>7</v>
      </c>
      <c r="S213" t="str">
        <f>SUBSTITUTE(SUBSTITUTE(Table1[[#This Row],[Harga_Satuan]],"Rp.",""),".","")</f>
        <v>14000</v>
      </c>
      <c r="T213">
        <f>Table1[[#This Row],[Total_Penjualan]]</f>
        <v>98000</v>
      </c>
      <c r="U213" t="str">
        <f>PROPER(Table1[[#This Row],[Kota]])</f>
        <v>Medan</v>
      </c>
      <c r="V213" t="str">
        <f>PROPER(Table1[[#This Row],[Metode_Pembayaran]])</f>
        <v>Kartu Debit</v>
      </c>
    </row>
    <row r="214" spans="1:22" x14ac:dyDescent="0.25">
      <c r="A214" s="7" t="s">
        <v>1495</v>
      </c>
      <c r="B214" s="3" t="s">
        <v>692</v>
      </c>
      <c r="C214" s="3" t="s">
        <v>1201</v>
      </c>
      <c r="D214" s="3" t="s">
        <v>886</v>
      </c>
      <c r="E214" s="3" t="s">
        <v>694</v>
      </c>
      <c r="F214" s="3">
        <v>1</v>
      </c>
      <c r="G214" s="3">
        <v>300000</v>
      </c>
      <c r="H214" s="3">
        <v>300000</v>
      </c>
      <c r="I214" s="3" t="s">
        <v>958</v>
      </c>
      <c r="J214" s="4" t="s">
        <v>888</v>
      </c>
      <c r="M214" s="10">
        <f>DATEVALUE(SUBSTITUTE(SUBSTITUTE(SUBSTITUTE(SUBSTITUTE(SUBSTITUTE(SUBSTITUTE(SUBSTITUTE(SUBSTITUTE(SUBSTITUTE(SUBSTITUTE(SUBSTITUTE(SUBSTITUTE(Table1[[#This Row],[Tanggal]],"Jan", "Jan"),"Feb","Feb"),"Mar","Mar"),"Apr","Apr"),"Mei","May"),"Jun","Jun"),"Jul","Jul"),"Agu","Aug"),"Sep","Sep"),"Okt","Oct"),"Nov","Nov"),"Des","Dec"))</f>
        <v>47021</v>
      </c>
      <c r="N214" t="str">
        <f>Table1[[#This Row],[ID_Transaksi]]</f>
        <v>INV-1213</v>
      </c>
      <c r="O214" s="5" t="str">
        <f>PROPER(TRIM(SUBSTITUTE(Table1[[#This Row],[Nama_Toko]],"""","")))</f>
        <v>Warung Santai Pagi</v>
      </c>
      <c r="P214" s="3" t="str">
        <f>PROPER(TRIM(Table1[[#This Row],[Kategori_Produk]]))</f>
        <v>Elektronik</v>
      </c>
      <c r="Q214" t="str">
        <f>PROPER(TRIM(Table1[Nama Produk]))</f>
        <v>Speaker Pasif Rakitan</v>
      </c>
      <c r="R214">
        <f>Table1[[#This Row],[Qty]]</f>
        <v>1</v>
      </c>
      <c r="S214" t="str">
        <f>SUBSTITUTE(SUBSTITUTE(Table1[[#This Row],[Harga_Satuan]],"Rp.",""),".","")</f>
        <v>300000</v>
      </c>
      <c r="T214">
        <f>Table1[[#This Row],[Total_Penjualan]]</f>
        <v>300000</v>
      </c>
      <c r="U214" t="str">
        <f>PROPER(Table1[[#This Row],[Kota]])</f>
        <v>Yogyakarta</v>
      </c>
      <c r="V214" t="str">
        <f>PROPER(Table1[[#This Row],[Metode_Pembayaran]])</f>
        <v>Kartu Kredit</v>
      </c>
    </row>
    <row r="215" spans="1:22" x14ac:dyDescent="0.25">
      <c r="A215" s="8" t="s">
        <v>1496</v>
      </c>
      <c r="B215" s="5" t="s">
        <v>695</v>
      </c>
      <c r="C215" s="5" t="s">
        <v>1202</v>
      </c>
      <c r="D215" s="5" t="s">
        <v>890</v>
      </c>
      <c r="E215" s="5" t="s">
        <v>696</v>
      </c>
      <c r="F215" s="5">
        <v>1</v>
      </c>
      <c r="G215" s="5">
        <v>180000</v>
      </c>
      <c r="H215" s="5">
        <v>180000</v>
      </c>
      <c r="I215" s="5" t="s">
        <v>960</v>
      </c>
      <c r="J215" s="6" t="s">
        <v>893</v>
      </c>
      <c r="M215" s="10">
        <f>DATEVALUE(SUBSTITUTE(SUBSTITUTE(SUBSTITUTE(SUBSTITUTE(SUBSTITUTE(SUBSTITUTE(SUBSTITUTE(SUBSTITUTE(SUBSTITUTE(SUBSTITUTE(SUBSTITUTE(SUBSTITUTE(Table1[[#This Row],[Tanggal]],"Jan", "Jan"),"Feb","Feb"),"Mar","Mar"),"Apr","Apr"),"Mei","May"),"Jun","Jun"),"Jul","Jul"),"Agu","Aug"),"Sep","Sep"),"Okt","Oct"),"Nov","Nov"),"Des","Dec"))</f>
        <v>47031</v>
      </c>
      <c r="N215" t="str">
        <f>Table1[[#This Row],[ID_Transaksi]]</f>
        <v>TRX-1214</v>
      </c>
      <c r="O215" s="5" t="str">
        <f>PROPER(TRIM(SUBSTITUTE(Table1[[#This Row],[Nama_Toko]],"""","")))</f>
        <v>Gudang Mega</v>
      </c>
      <c r="P215" s="3" t="str">
        <f>PROPER(TRIM(Table1[[#This Row],[Kategori_Produk]]))</f>
        <v>Kecantikan</v>
      </c>
      <c r="Q215" t="str">
        <f>PROPER(TRIM(Table1[Nama Produk]))</f>
        <v>Kuas Set Makeup Lengkap</v>
      </c>
      <c r="R215">
        <f>Table1[[#This Row],[Qty]]</f>
        <v>1</v>
      </c>
      <c r="S215" t="str">
        <f>SUBSTITUTE(SUBSTITUTE(Table1[[#This Row],[Harga_Satuan]],"Rp.",""),".","")</f>
        <v>180000</v>
      </c>
      <c r="T215">
        <f>Table1[[#This Row],[Total_Penjualan]]</f>
        <v>180000</v>
      </c>
      <c r="U215" t="str">
        <f>PROPER(Table1[[#This Row],[Kota]])</f>
        <v>Malang</v>
      </c>
      <c r="V215" t="str">
        <f>PROPER(Table1[[#This Row],[Metode_Pembayaran]])</f>
        <v>Tunai</v>
      </c>
    </row>
    <row r="216" spans="1:22" x14ac:dyDescent="0.25">
      <c r="A216" s="7" t="s">
        <v>1198</v>
      </c>
      <c r="B216" s="3" t="s">
        <v>697</v>
      </c>
      <c r="C216" s="3" t="s">
        <v>1203</v>
      </c>
      <c r="D216" s="3" t="s">
        <v>895</v>
      </c>
      <c r="E216" s="3" t="s">
        <v>1204</v>
      </c>
      <c r="F216" s="3">
        <v>3</v>
      </c>
      <c r="G216" s="3">
        <v>40000</v>
      </c>
      <c r="H216" s="3">
        <v>120000</v>
      </c>
      <c r="I216" s="3" t="s">
        <v>883</v>
      </c>
      <c r="J216" s="4" t="s">
        <v>884</v>
      </c>
      <c r="M216" s="10">
        <f>DATEVALUE(SUBSTITUTE(SUBSTITUTE(SUBSTITUTE(SUBSTITUTE(SUBSTITUTE(SUBSTITUTE(SUBSTITUTE(SUBSTITUTE(SUBSTITUTE(SUBSTITUTE(SUBSTITUTE(SUBSTITUTE(Table1[[#This Row],[Tanggal]],"Jan", "Jan"),"Feb","Feb"),"Mar","Mar"),"Apr","Apr"),"Mei","May"),"Jun","Jun"),"Jul","Jul"),"Agu","Aug"),"Sep","Sep"),"Okt","Oct"),"Nov","Nov"),"Des","Dec"))</f>
        <v>47041</v>
      </c>
      <c r="N216" t="str">
        <f>Table1[[#This Row],[ID_Transaksi]]</f>
        <v>INV-1215</v>
      </c>
      <c r="O216" s="5" t="str">
        <f>PROPER(TRIM(SUBSTITUTE(Table1[[#This Row],[Nama_Toko]],"""","")))</f>
        <v>Toko Senang</v>
      </c>
      <c r="P216" s="3" t="str">
        <f>PROPER(TRIM(Table1[[#This Row],[Kategori_Produk]]))</f>
        <v>Makanan</v>
      </c>
      <c r="Q216" t="str">
        <f>PROPER(TRIM(Table1[Nama Produk]))</f>
        <v>Keju Mozzarella 250G</v>
      </c>
      <c r="R216">
        <f>Table1[[#This Row],[Qty]]</f>
        <v>3</v>
      </c>
      <c r="S216" t="str">
        <f>SUBSTITUTE(SUBSTITUTE(Table1[[#This Row],[Harga_Satuan]],"Rp.",""),".","")</f>
        <v>40000</v>
      </c>
      <c r="T216">
        <f>Table1[[#This Row],[Total_Penjualan]]</f>
        <v>120000</v>
      </c>
      <c r="U216" t="str">
        <f>PROPER(Table1[[#This Row],[Kota]])</f>
        <v>Bandung</v>
      </c>
      <c r="V216" t="str">
        <f>PROPER(Table1[[#This Row],[Metode_Pembayaran]])</f>
        <v>Kartu Debit</v>
      </c>
    </row>
    <row r="217" spans="1:22" x14ac:dyDescent="0.25">
      <c r="A217" s="8" t="s">
        <v>1497</v>
      </c>
      <c r="B217" s="5" t="s">
        <v>700</v>
      </c>
      <c r="C217" s="5" t="s">
        <v>1205</v>
      </c>
      <c r="D217" s="5" t="s">
        <v>43</v>
      </c>
      <c r="E217" s="5" t="s">
        <v>701</v>
      </c>
      <c r="F217" s="5">
        <v>2</v>
      </c>
      <c r="G217" s="5">
        <v>160000</v>
      </c>
      <c r="H217" s="5">
        <v>320000</v>
      </c>
      <c r="I217" s="5" t="s">
        <v>919</v>
      </c>
      <c r="J217" s="6" t="s">
        <v>880</v>
      </c>
      <c r="M217" s="10">
        <f>DATEVALUE(SUBSTITUTE(SUBSTITUTE(SUBSTITUTE(SUBSTITUTE(SUBSTITUTE(SUBSTITUTE(SUBSTITUTE(SUBSTITUTE(SUBSTITUTE(SUBSTITUTE(SUBSTITUTE(SUBSTITUTE(Table1[[#This Row],[Tanggal]],"Jan", "Jan"),"Feb","Feb"),"Mar","Mar"),"Apr","Apr"),"Mei","May"),"Jun","Jun"),"Jul","Jul"),"Agu","Aug"),"Sep","Sep"),"Okt","Oct"),"Nov","Nov"),"Des","Dec"))</f>
        <v>47051</v>
      </c>
      <c r="N217" t="str">
        <f>Table1[[#This Row],[ID_Transaksi]]</f>
        <v>TRX-1216</v>
      </c>
      <c r="O217" s="5" t="str">
        <f>PROPER(TRIM(SUBSTITUTE(Table1[[#This Row],[Nama_Toko]],"""","")))</f>
        <v>Pasar Pagi Ceria</v>
      </c>
      <c r="P217" s="3" t="str">
        <f>PROPER(TRIM(Table1[[#This Row],[Kategori_Produk]]))</f>
        <v>Pakaian</v>
      </c>
      <c r="Q217" t="str">
        <f>PROPER(TRIM(Table1[Nama Produk]))</f>
        <v>Selimut Bulu Halus</v>
      </c>
      <c r="R217">
        <f>Table1[[#This Row],[Qty]]</f>
        <v>2</v>
      </c>
      <c r="S217" t="str">
        <f>SUBSTITUTE(SUBSTITUTE(Table1[[#This Row],[Harga_Satuan]],"Rp.",""),".","")</f>
        <v>160000</v>
      </c>
      <c r="T217">
        <f>Table1[[#This Row],[Total_Penjualan]]</f>
        <v>320000</v>
      </c>
      <c r="U217" t="str">
        <f>PROPER(Table1[[#This Row],[Kota]])</f>
        <v>Semarang</v>
      </c>
      <c r="V217" t="str">
        <f>PROPER(Table1[[#This Row],[Metode_Pembayaran]])</f>
        <v>Tunai</v>
      </c>
    </row>
    <row r="218" spans="1:22" x14ac:dyDescent="0.25">
      <c r="A218" s="7" t="s">
        <v>1498</v>
      </c>
      <c r="B218" s="3" t="s">
        <v>703</v>
      </c>
      <c r="C218" s="3" t="s">
        <v>1207</v>
      </c>
      <c r="D218" s="3" t="s">
        <v>901</v>
      </c>
      <c r="E218" s="3" t="s">
        <v>704</v>
      </c>
      <c r="F218" s="3">
        <v>1</v>
      </c>
      <c r="G218" s="3">
        <v>280000</v>
      </c>
      <c r="H218" s="3">
        <v>280000</v>
      </c>
      <c r="I218" s="3" t="s">
        <v>965</v>
      </c>
      <c r="J218" s="4" t="s">
        <v>29</v>
      </c>
      <c r="M218" s="10">
        <f>DATEVALUE(SUBSTITUTE(SUBSTITUTE(SUBSTITUTE(SUBSTITUTE(SUBSTITUTE(SUBSTITUTE(SUBSTITUTE(SUBSTITUTE(SUBSTITUTE(SUBSTITUTE(SUBSTITUTE(SUBSTITUTE(Table1[[#This Row],[Tanggal]],"Jan", "Jan"),"Feb","Feb"),"Mar","Mar"),"Apr","Apr"),"Mei","May"),"Jun","Jun"),"Jul","Jul"),"Agu","Aug"),"Sep","Sep"),"Okt","Oct"),"Nov","Nov"),"Des","Dec"))</f>
        <v>47058</v>
      </c>
      <c r="N218" t="str">
        <f>Table1[[#This Row],[ID_Transaksi]]</f>
        <v>INV-1217</v>
      </c>
      <c r="O218" s="5" t="str">
        <f>PROPER(TRIM(SUBSTITUTE(Table1[[#This Row],[Nama_Toko]],"""","")))</f>
        <v>Minimarket Super</v>
      </c>
      <c r="P218" s="3" t="str">
        <f>PROPER(TRIM(Table1[[#This Row],[Kategori_Produk]]))</f>
        <v>Mainan</v>
      </c>
      <c r="Q218" t="str">
        <f>PROPER(TRIM(Table1[Nama Produk]))</f>
        <v>Helikopter Remote Control</v>
      </c>
      <c r="R218">
        <f>Table1[[#This Row],[Qty]]</f>
        <v>1</v>
      </c>
      <c r="S218" t="str">
        <f>SUBSTITUTE(SUBSTITUTE(Table1[[#This Row],[Harga_Satuan]],"Rp.",""),".","")</f>
        <v>280000</v>
      </c>
      <c r="T218">
        <f>Table1[[#This Row],[Total_Penjualan]]</f>
        <v>280000</v>
      </c>
      <c r="U218" t="str">
        <f>PROPER(Table1[[#This Row],[Kota]])</f>
        <v>Surabaya</v>
      </c>
      <c r="V218" t="str">
        <f>PROPER(Table1[[#This Row],[Metode_Pembayaran]])</f>
        <v>Kartu Kredit</v>
      </c>
    </row>
    <row r="219" spans="1:22" x14ac:dyDescent="0.25">
      <c r="A219" s="8" t="s">
        <v>1499</v>
      </c>
      <c r="B219" s="5" t="s">
        <v>705</v>
      </c>
      <c r="C219" s="5" t="s">
        <v>1208</v>
      </c>
      <c r="D219" s="5" t="s">
        <v>12</v>
      </c>
      <c r="E219" s="5" t="s">
        <v>706</v>
      </c>
      <c r="F219" s="5">
        <v>5</v>
      </c>
      <c r="G219" s="5">
        <v>15000</v>
      </c>
      <c r="H219" s="5">
        <v>75000</v>
      </c>
      <c r="I219" s="5" t="s">
        <v>937</v>
      </c>
      <c r="J219" s="6" t="s">
        <v>893</v>
      </c>
      <c r="M219" s="10">
        <f>DATEVALUE(SUBSTITUTE(SUBSTITUTE(SUBSTITUTE(SUBSTITUTE(SUBSTITUTE(SUBSTITUTE(SUBSTITUTE(SUBSTITUTE(SUBSTITUTE(SUBSTITUTE(SUBSTITUTE(SUBSTITUTE(Table1[[#This Row],[Tanggal]],"Jan", "Jan"),"Feb","Feb"),"Mar","Mar"),"Apr","Apr"),"Mei","May"),"Jun","Jun"),"Jul","Jul"),"Agu","Aug"),"Sep","Sep"),"Okt","Oct"),"Nov","Nov"),"Des","Dec"))</f>
        <v>47067</v>
      </c>
      <c r="N219" t="str">
        <f>Table1[[#This Row],[ID_Transaksi]]</f>
        <v>TRX-1218</v>
      </c>
      <c r="O219" s="5" t="str">
        <f>PROPER(TRIM(SUBSTITUTE(Table1[[#This Row],[Nama_Toko]],"""","")))</f>
        <v>Toko Masa Depan</v>
      </c>
      <c r="P219" s="3" t="str">
        <f>PROPER(TRIM(Table1[[#This Row],[Kategori_Produk]]))</f>
        <v>Makanan</v>
      </c>
      <c r="Q219" t="str">
        <f>PROPER(TRIM(Table1[Nama Produk]))</f>
        <v>Saus Sambal Botol Pedas</v>
      </c>
      <c r="R219">
        <f>Table1[[#This Row],[Qty]]</f>
        <v>5</v>
      </c>
      <c r="S219" t="str">
        <f>SUBSTITUTE(SUBSTITUTE(Table1[[#This Row],[Harga_Satuan]],"Rp.",""),".","")</f>
        <v>15000</v>
      </c>
      <c r="T219">
        <f>Table1[[#This Row],[Total_Penjualan]]</f>
        <v>75000</v>
      </c>
      <c r="U219" t="str">
        <f>PROPER(Table1[[#This Row],[Kota]])</f>
        <v>Depok</v>
      </c>
      <c r="V219" t="str">
        <f>PROPER(Table1[[#This Row],[Metode_Pembayaran]])</f>
        <v>Tunai</v>
      </c>
    </row>
    <row r="220" spans="1:22" x14ac:dyDescent="0.25">
      <c r="A220" s="7" t="s">
        <v>1500</v>
      </c>
      <c r="B220" s="3" t="s">
        <v>707</v>
      </c>
      <c r="C220" s="3" t="s">
        <v>1209</v>
      </c>
      <c r="D220" s="3" t="s">
        <v>19</v>
      </c>
      <c r="E220" s="3" t="s">
        <v>708</v>
      </c>
      <c r="F220" s="3">
        <v>12</v>
      </c>
      <c r="G220" s="3">
        <v>6000</v>
      </c>
      <c r="H220" s="3">
        <v>72000</v>
      </c>
      <c r="I220" s="3" t="s">
        <v>968</v>
      </c>
      <c r="J220" s="4" t="s">
        <v>884</v>
      </c>
      <c r="M220" s="10">
        <f>DATEVALUE(SUBSTITUTE(SUBSTITUTE(SUBSTITUTE(SUBSTITUTE(SUBSTITUTE(SUBSTITUTE(SUBSTITUTE(SUBSTITUTE(SUBSTITUTE(SUBSTITUTE(SUBSTITUTE(SUBSTITUTE(Table1[[#This Row],[Tanggal]],"Jan", "Jan"),"Feb","Feb"),"Mar","Mar"),"Apr","Apr"),"Mei","May"),"Jun","Jun"),"Jul","Jul"),"Agu","Aug"),"Sep","Sep"),"Okt","Oct"),"Nov","Nov"),"Des","Dec"))</f>
        <v>47077</v>
      </c>
      <c r="N220" t="str">
        <f>Table1[[#This Row],[ID_Transaksi]]</f>
        <v>INV-1219</v>
      </c>
      <c r="O220" s="5" t="str">
        <f>PROPER(TRIM(SUBSTITUTE(Table1[[#This Row],[Nama_Toko]],"""","")))</f>
        <v>Grosir Baru</v>
      </c>
      <c r="P220" s="3" t="str">
        <f>PROPER(TRIM(Table1[[#This Row],[Kategori_Produk]]))</f>
        <v>Minuman</v>
      </c>
      <c r="Q220" t="str">
        <f>PROPER(TRIM(Table1[Nama Produk]))</f>
        <v>Teh Lemon Instan</v>
      </c>
      <c r="R220">
        <f>Table1[[#This Row],[Qty]]</f>
        <v>12</v>
      </c>
      <c r="S220" t="str">
        <f>SUBSTITUTE(SUBSTITUTE(Table1[[#This Row],[Harga_Satuan]],"Rp.",""),".","")</f>
        <v>6000</v>
      </c>
      <c r="T220">
        <f>Table1[[#This Row],[Total_Penjualan]]</f>
        <v>72000</v>
      </c>
      <c r="U220" t="str">
        <f>PROPER(Table1[[#This Row],[Kota]])</f>
        <v>Jakarta Selatan</v>
      </c>
      <c r="V220" t="str">
        <f>PROPER(Table1[[#This Row],[Metode_Pembayaran]])</f>
        <v>Kartu Debit</v>
      </c>
    </row>
    <row r="221" spans="1:22" x14ac:dyDescent="0.25">
      <c r="A221" s="8" t="s">
        <v>1501</v>
      </c>
      <c r="B221" s="5" t="s">
        <v>709</v>
      </c>
      <c r="C221" s="5" t="s">
        <v>1210</v>
      </c>
      <c r="D221" s="5" t="s">
        <v>886</v>
      </c>
      <c r="E221" s="5" t="s">
        <v>711</v>
      </c>
      <c r="F221" s="5">
        <v>1</v>
      </c>
      <c r="G221" s="5">
        <v>800000</v>
      </c>
      <c r="H221" s="5">
        <v>800000</v>
      </c>
      <c r="I221" s="5" t="s">
        <v>915</v>
      </c>
      <c r="J221" s="6" t="s">
        <v>888</v>
      </c>
      <c r="M221" s="10">
        <f>DATEVALUE(SUBSTITUTE(SUBSTITUTE(SUBSTITUTE(SUBSTITUTE(SUBSTITUTE(SUBSTITUTE(SUBSTITUTE(SUBSTITUTE(SUBSTITUTE(SUBSTITUTE(SUBSTITUTE(SUBSTITUTE(Table1[[#This Row],[Tanggal]],"Jan", "Jan"),"Feb","Feb"),"Mar","Mar"),"Apr","Apr"),"Mei","May"),"Jun","Jun"),"Jul","Jul"),"Agu","Aug"),"Sep","Sep"),"Okt","Oct"),"Nov","Nov"),"Des","Dec"))</f>
        <v>47088</v>
      </c>
      <c r="N221" t="str">
        <f>Table1[[#This Row],[ID_Transaksi]]</f>
        <v>TRX-1220</v>
      </c>
      <c r="O221" s="5" t="str">
        <f>PROPER(TRIM(SUBSTITUTE(Table1[[#This Row],[Nama_Toko]],"""","")))</f>
        <v>Warung Cemerlang</v>
      </c>
      <c r="P221" s="3" t="str">
        <f>PROPER(TRIM(Table1[[#This Row],[Kategori_Produk]]))</f>
        <v>Elektronik</v>
      </c>
      <c r="Q221" t="str">
        <f>PROPER(TRIM(Table1[Nama Produk]))</f>
        <v>Projector Mini Portabel</v>
      </c>
      <c r="R221">
        <f>Table1[[#This Row],[Qty]]</f>
        <v>1</v>
      </c>
      <c r="S221" t="str">
        <f>SUBSTITUTE(SUBSTITUTE(Table1[[#This Row],[Harga_Satuan]],"Rp.",""),".","")</f>
        <v>800000</v>
      </c>
      <c r="T221">
        <f>Table1[[#This Row],[Total_Penjualan]]</f>
        <v>800000</v>
      </c>
      <c r="U221" t="str">
        <f>PROPER(Table1[[#This Row],[Kota]])</f>
        <v>Medan</v>
      </c>
      <c r="V221" t="str">
        <f>PROPER(Table1[[#This Row],[Metode_Pembayaran]])</f>
        <v>Kartu Kredit</v>
      </c>
    </row>
    <row r="222" spans="1:22" x14ac:dyDescent="0.25">
      <c r="A222" s="7" t="s">
        <v>1206</v>
      </c>
      <c r="B222" s="3" t="s">
        <v>712</v>
      </c>
      <c r="C222" s="3" t="s">
        <v>1211</v>
      </c>
      <c r="D222" s="3" t="s">
        <v>890</v>
      </c>
      <c r="E222" s="3" t="s">
        <v>713</v>
      </c>
      <c r="F222" s="3">
        <v>4</v>
      </c>
      <c r="G222" s="3">
        <v>45000</v>
      </c>
      <c r="H222" s="3">
        <v>180000</v>
      </c>
      <c r="I222" s="3" t="s">
        <v>913</v>
      </c>
      <c r="J222" s="4" t="s">
        <v>893</v>
      </c>
      <c r="M222" s="10">
        <f>DATEVALUE(SUBSTITUTE(SUBSTITUTE(SUBSTITUTE(SUBSTITUTE(SUBSTITUTE(SUBSTITUTE(SUBSTITUTE(SUBSTITUTE(SUBSTITUTE(SUBSTITUTE(SUBSTITUTE(SUBSTITUTE(Table1[[#This Row],[Tanggal]],"Jan", "Jan"),"Feb","Feb"),"Mar","Mar"),"Apr","Apr"),"Mei","May"),"Jun","Jun"),"Jul","Jul"),"Agu","Aug"),"Sep","Sep"),"Okt","Oct"),"Nov","Nov"),"Des","Dec"))</f>
        <v>47102</v>
      </c>
      <c r="N222" t="str">
        <f>Table1[[#This Row],[ID_Transaksi]]</f>
        <v>INV-1221</v>
      </c>
      <c r="O222" s="5" t="str">
        <f>PROPER(TRIM(SUBSTITUTE(Table1[[#This Row],[Nama_Toko]],"""","")))</f>
        <v>Gudang Paling Murah</v>
      </c>
      <c r="P222" s="3" t="str">
        <f>PROPER(TRIM(Table1[[#This Row],[Kategori_Produk]]))</f>
        <v>Kecantikan</v>
      </c>
      <c r="Q222" t="str">
        <f>PROPER(TRIM(Table1[Nama Produk]))</f>
        <v>Face Mist Vitamin C</v>
      </c>
      <c r="R222">
        <f>Table1[[#This Row],[Qty]]</f>
        <v>4</v>
      </c>
      <c r="S222" t="str">
        <f>SUBSTITUTE(SUBSTITUTE(Table1[[#This Row],[Harga_Satuan]],"Rp.",""),".","")</f>
        <v>45000</v>
      </c>
      <c r="T222">
        <f>Table1[[#This Row],[Total_Penjualan]]</f>
        <v>180000</v>
      </c>
      <c r="U222" t="str">
        <f>PROPER(Table1[[#This Row],[Kota]])</f>
        <v>Yogyakarta</v>
      </c>
      <c r="V222" t="str">
        <f>PROPER(Table1[[#This Row],[Metode_Pembayaran]])</f>
        <v>Tunai</v>
      </c>
    </row>
    <row r="223" spans="1:22" x14ac:dyDescent="0.25">
      <c r="A223" s="8" t="s">
        <v>1502</v>
      </c>
      <c r="B223" s="5" t="s">
        <v>714</v>
      </c>
      <c r="C223" s="5" t="s">
        <v>1160</v>
      </c>
      <c r="D223" s="5" t="s">
        <v>895</v>
      </c>
      <c r="E223" s="5" t="s">
        <v>1212</v>
      </c>
      <c r="F223" s="5">
        <v>10</v>
      </c>
      <c r="G223" s="5">
        <v>9000</v>
      </c>
      <c r="H223" s="5">
        <v>90000</v>
      </c>
      <c r="I223" s="5" t="s">
        <v>960</v>
      </c>
      <c r="J223" s="6" t="s">
        <v>884</v>
      </c>
      <c r="M223" s="10">
        <f>DATEVALUE(SUBSTITUTE(SUBSTITUTE(SUBSTITUTE(SUBSTITUTE(SUBSTITUTE(SUBSTITUTE(SUBSTITUTE(SUBSTITUTE(SUBSTITUTE(SUBSTITUTE(SUBSTITUTE(SUBSTITUTE(Table1[[#This Row],[Tanggal]],"Jan", "Jan"),"Feb","Feb"),"Mar","Mar"),"Apr","Apr"),"Mei","May"),"Jun","Jun"),"Jul","Jul"),"Agu","Aug"),"Sep","Sep"),"Okt","Oct"),"Nov","Nov"),"Des","Dec"))</f>
        <v>47112</v>
      </c>
      <c r="N223" t="str">
        <f>Table1[[#This Row],[ID_Transaksi]]</f>
        <v>TRX-1222</v>
      </c>
      <c r="O223" s="5" t="str">
        <f>PROPER(TRIM(SUBSTITUTE(Table1[[#This Row],[Nama_Toko]],"""","")))</f>
        <v>Toko Ramai</v>
      </c>
      <c r="P223" s="3" t="str">
        <f>PROPER(TRIM(Table1[[#This Row],[Kategori_Produk]]))</f>
        <v>Makanan</v>
      </c>
      <c r="Q223" t="str">
        <f>PROPER(TRIM(Table1[Nama Produk]))</f>
        <v>Biskuit Rasa Pisang</v>
      </c>
      <c r="R223">
        <f>Table1[[#This Row],[Qty]]</f>
        <v>10</v>
      </c>
      <c r="S223" t="str">
        <f>SUBSTITUTE(SUBSTITUTE(Table1[[#This Row],[Harga_Satuan]],"Rp.",""),".","")</f>
        <v>9000</v>
      </c>
      <c r="T223">
        <f>Table1[[#This Row],[Total_Penjualan]]</f>
        <v>90000</v>
      </c>
      <c r="U223" t="str">
        <f>PROPER(Table1[[#This Row],[Kota]])</f>
        <v>Malang</v>
      </c>
      <c r="V223" t="str">
        <f>PROPER(Table1[[#This Row],[Metode_Pembayaran]])</f>
        <v>Kartu Debit</v>
      </c>
    </row>
    <row r="224" spans="1:22" x14ac:dyDescent="0.25">
      <c r="A224" s="7" t="s">
        <v>1503</v>
      </c>
      <c r="B224" s="3" t="s">
        <v>716</v>
      </c>
      <c r="C224" s="3" t="s">
        <v>1213</v>
      </c>
      <c r="D224" s="3" t="s">
        <v>43</v>
      </c>
      <c r="E224" s="3" t="s">
        <v>717</v>
      </c>
      <c r="F224" s="3">
        <v>3</v>
      </c>
      <c r="G224" s="3">
        <v>110000</v>
      </c>
      <c r="H224" s="3">
        <v>330000</v>
      </c>
      <c r="I224" s="3" t="s">
        <v>21</v>
      </c>
      <c r="J224" s="4" t="s">
        <v>880</v>
      </c>
      <c r="M224" s="10">
        <f>DATEVALUE(SUBSTITUTE(SUBSTITUTE(SUBSTITUTE(SUBSTITUTE(SUBSTITUTE(SUBSTITUTE(SUBSTITUTE(SUBSTITUTE(SUBSTITUTE(SUBSTITUTE(SUBSTITUTE(SUBSTITUTE(Table1[[#This Row],[Tanggal]],"Jan", "Jan"),"Feb","Feb"),"Mar","Mar"),"Apr","Apr"),"Mei","May"),"Jun","Jun"),"Jul","Jul"),"Agu","Aug"),"Sep","Sep"),"Okt","Oct"),"Nov","Nov"),"Des","Dec"))</f>
        <v>47123</v>
      </c>
      <c r="N224" t="str">
        <f>Table1[[#This Row],[ID_Transaksi]]</f>
        <v>INV-1223</v>
      </c>
      <c r="O224" s="5" t="str">
        <f>PROPER(TRIM(SUBSTITUTE(Table1[[#This Row],[Nama_Toko]],"""","")))</f>
        <v>Pasar Terpadu</v>
      </c>
      <c r="P224" s="3" t="str">
        <f>PROPER(TRIM(Table1[[#This Row],[Kategori_Produk]]))</f>
        <v>Pakaian</v>
      </c>
      <c r="Q224" t="str">
        <f>PROPER(TRIM(Table1[Nama Produk]))</f>
        <v>Kardigan Rajut Wanita</v>
      </c>
      <c r="R224">
        <f>Table1[[#This Row],[Qty]]</f>
        <v>3</v>
      </c>
      <c r="S224" t="str">
        <f>SUBSTITUTE(SUBSTITUTE(Table1[[#This Row],[Harga_Satuan]],"Rp.",""),".","")</f>
        <v>110000</v>
      </c>
      <c r="T224">
        <f>Table1[[#This Row],[Total_Penjualan]]</f>
        <v>330000</v>
      </c>
      <c r="U224" t="str">
        <f>PROPER(Table1[[#This Row],[Kota]])</f>
        <v>Bandung</v>
      </c>
      <c r="V224" t="str">
        <f>PROPER(Table1[[#This Row],[Metode_Pembayaran]])</f>
        <v>Tunai</v>
      </c>
    </row>
    <row r="225" spans="1:22" x14ac:dyDescent="0.25">
      <c r="A225" s="8" t="s">
        <v>1504</v>
      </c>
      <c r="B225" s="5" t="s">
        <v>719</v>
      </c>
      <c r="C225" s="5" t="s">
        <v>1214</v>
      </c>
      <c r="D225" s="5" t="s">
        <v>901</v>
      </c>
      <c r="E225" s="5" t="s">
        <v>720</v>
      </c>
      <c r="F225" s="5">
        <v>6</v>
      </c>
      <c r="G225" s="5">
        <v>90000</v>
      </c>
      <c r="H225" s="5">
        <v>540000</v>
      </c>
      <c r="I225" s="5" t="s">
        <v>932</v>
      </c>
      <c r="J225" s="6" t="s">
        <v>29</v>
      </c>
      <c r="M225" s="10">
        <f>DATEVALUE(SUBSTITUTE(SUBSTITUTE(SUBSTITUTE(SUBSTITUTE(SUBSTITUTE(SUBSTITUTE(SUBSTITUTE(SUBSTITUTE(SUBSTITUTE(SUBSTITUTE(SUBSTITUTE(SUBSTITUTE(Table1[[#This Row],[Tanggal]],"Jan", "Jan"),"Feb","Feb"),"Mar","Mar"),"Apr","Apr"),"Mei","May"),"Jun","Jun"),"Jul","Jul"),"Agu","Aug"),"Sep","Sep"),"Okt","Oct"),"Nov","Nov"),"Des","Dec"))</f>
        <v>47133</v>
      </c>
      <c r="N225" t="str">
        <f>Table1[[#This Row],[ID_Transaksi]]</f>
        <v>TRX-1224</v>
      </c>
      <c r="O225" s="5" t="str">
        <f>PROPER(TRIM(SUBSTITUTE(Table1[[#This Row],[Nama_Toko]],"""","")))</f>
        <v>Minimarket Bersinar</v>
      </c>
      <c r="P225" s="3" t="str">
        <f>PROPER(TRIM(Table1[[#This Row],[Kategori_Produk]]))</f>
        <v>Mainan</v>
      </c>
      <c r="Q225" t="str">
        <f>PROPER(TRIM(Table1[Nama Produk]))</f>
        <v>Mainan Blok Bangunan Besar</v>
      </c>
      <c r="R225">
        <f>Table1[[#This Row],[Qty]]</f>
        <v>6</v>
      </c>
      <c r="S225" t="str">
        <f>SUBSTITUTE(SUBSTITUTE(Table1[[#This Row],[Harga_Satuan]],"Rp.",""),".","")</f>
        <v>90000</v>
      </c>
      <c r="T225">
        <f>Table1[[#This Row],[Total_Penjualan]]</f>
        <v>540000</v>
      </c>
      <c r="U225" t="str">
        <f>PROPER(Table1[[#This Row],[Kota]])</f>
        <v>Semarang</v>
      </c>
      <c r="V225" t="str">
        <f>PROPER(Table1[[#This Row],[Metode_Pembayaran]])</f>
        <v>Kartu Kredit</v>
      </c>
    </row>
    <row r="226" spans="1:22" x14ac:dyDescent="0.25">
      <c r="A226" s="7" t="s">
        <v>1505</v>
      </c>
      <c r="B226" s="3" t="s">
        <v>721</v>
      </c>
      <c r="C226" s="3" t="s">
        <v>1215</v>
      </c>
      <c r="D226" s="3" t="s">
        <v>12</v>
      </c>
      <c r="E226" s="3" t="s">
        <v>1216</v>
      </c>
      <c r="F226" s="3">
        <v>2</v>
      </c>
      <c r="G226" s="3">
        <v>60000</v>
      </c>
      <c r="H226" s="3">
        <v>120000</v>
      </c>
      <c r="I226" s="3" t="s">
        <v>951</v>
      </c>
      <c r="J226" s="4" t="s">
        <v>893</v>
      </c>
      <c r="M226" s="10">
        <f>DATEVALUE(SUBSTITUTE(SUBSTITUTE(SUBSTITUTE(SUBSTITUTE(SUBSTITUTE(SUBSTITUTE(SUBSTITUTE(SUBSTITUTE(SUBSTITUTE(SUBSTITUTE(SUBSTITUTE(SUBSTITUTE(Table1[[#This Row],[Tanggal]],"Jan", "Jan"),"Feb","Feb"),"Mar","Mar"),"Apr","Apr"),"Mei","May"),"Jun","Jun"),"Jul","Jul"),"Agu","Aug"),"Sep","Sep"),"Okt","Oct"),"Nov","Nov"),"Des","Dec"))</f>
        <v>47143</v>
      </c>
      <c r="N226" t="str">
        <f>Table1[[#This Row],[ID_Transaksi]]</f>
        <v>INV-1225</v>
      </c>
      <c r="O226" s="5" t="str">
        <f>PROPER(TRIM(SUBSTITUTE(Table1[[#This Row],[Nama_Toko]],"""","")))</f>
        <v>Toko Segar</v>
      </c>
      <c r="P226" s="3" t="str">
        <f>PROPER(TRIM(Table1[[#This Row],[Kategori_Produk]]))</f>
        <v>Makanan</v>
      </c>
      <c r="Q226" t="str">
        <f>PROPER(TRIM(Table1[Nama Produk]))</f>
        <v>Buah Anggur Merah 1Kg</v>
      </c>
      <c r="R226">
        <f>Table1[[#This Row],[Qty]]</f>
        <v>2</v>
      </c>
      <c r="S226" t="str">
        <f>SUBSTITUTE(SUBSTITUTE(Table1[[#This Row],[Harga_Satuan]],"Rp.",""),".","")</f>
        <v>60000</v>
      </c>
      <c r="T226">
        <f>Table1[[#This Row],[Total_Penjualan]]</f>
        <v>120000</v>
      </c>
      <c r="U226" t="str">
        <f>PROPER(Table1[[#This Row],[Kota]])</f>
        <v>Surabaya</v>
      </c>
      <c r="V226" t="str">
        <f>PROPER(Table1[[#This Row],[Metode_Pembayaran]])</f>
        <v>Tunai</v>
      </c>
    </row>
    <row r="227" spans="1:22" x14ac:dyDescent="0.25">
      <c r="A227" s="8" t="s">
        <v>1506</v>
      </c>
      <c r="B227" s="5" t="s">
        <v>723</v>
      </c>
      <c r="C227" s="5" t="s">
        <v>1217</v>
      </c>
      <c r="D227" s="5" t="s">
        <v>19</v>
      </c>
      <c r="E227" s="5" t="s">
        <v>724</v>
      </c>
      <c r="F227" s="5">
        <v>1</v>
      </c>
      <c r="G227" s="5">
        <v>25000</v>
      </c>
      <c r="H227" s="5">
        <v>25000</v>
      </c>
      <c r="I227" s="5" t="s">
        <v>923</v>
      </c>
      <c r="J227" s="6" t="s">
        <v>884</v>
      </c>
      <c r="M227" s="10">
        <f>DATEVALUE(SUBSTITUTE(SUBSTITUTE(SUBSTITUTE(SUBSTITUTE(SUBSTITUTE(SUBSTITUTE(SUBSTITUTE(SUBSTITUTE(SUBSTITUTE(SUBSTITUTE(SUBSTITUTE(SUBSTITUTE(Table1[[#This Row],[Tanggal]],"Jan", "Jan"),"Feb","Feb"),"Mar","Mar"),"Apr","Apr"),"Mei","May"),"Jun","Jun"),"Jul","Jul"),"Agu","Aug"),"Sep","Sep"),"Okt","Oct"),"Nov","Nov"),"Des","Dec"))</f>
        <v>47150</v>
      </c>
      <c r="N227" t="str">
        <f>Table1[[#This Row],[ID_Transaksi]]</f>
        <v>TRX-1226</v>
      </c>
      <c r="O227" s="5" t="str">
        <f>PROPER(TRIM(SUBSTITUTE(Table1[[#This Row],[Nama_Toko]],"""","")))</f>
        <v>Grosir Cepat</v>
      </c>
      <c r="P227" s="3" t="str">
        <f>PROPER(TRIM(Table1[[#This Row],[Kategori_Produk]]))</f>
        <v>Minuman</v>
      </c>
      <c r="Q227" t="str">
        <f>PROPER(TRIM(Table1[Nama Produk]))</f>
        <v>Air Kelapa Hijau</v>
      </c>
      <c r="R227">
        <f>Table1[[#This Row],[Qty]]</f>
        <v>1</v>
      </c>
      <c r="S227" t="str">
        <f>SUBSTITUTE(SUBSTITUTE(Table1[[#This Row],[Harga_Satuan]],"Rp.",""),".","")</f>
        <v>25000</v>
      </c>
      <c r="T227">
        <f>Table1[[#This Row],[Total_Penjualan]]</f>
        <v>25000</v>
      </c>
      <c r="U227" t="str">
        <f>PROPER(Table1[[#This Row],[Kota]])</f>
        <v>Denpasar</v>
      </c>
      <c r="V227" t="str">
        <f>PROPER(Table1[[#This Row],[Metode_Pembayaran]])</f>
        <v>Kartu Debit</v>
      </c>
    </row>
    <row r="228" spans="1:22" x14ac:dyDescent="0.25">
      <c r="A228" s="7" t="s">
        <v>1507</v>
      </c>
      <c r="B228" s="3" t="s">
        <v>725</v>
      </c>
      <c r="C228" s="3" t="s">
        <v>1218</v>
      </c>
      <c r="D228" s="3" t="s">
        <v>886</v>
      </c>
      <c r="E228" s="3" t="s">
        <v>1219</v>
      </c>
      <c r="F228" s="3">
        <v>3</v>
      </c>
      <c r="G228" s="3">
        <v>40000</v>
      </c>
      <c r="H228" s="3">
        <v>120000</v>
      </c>
      <c r="I228" s="3" t="s">
        <v>978</v>
      </c>
      <c r="J228" s="4" t="s">
        <v>888</v>
      </c>
      <c r="M228" s="10">
        <f>DATEVALUE(SUBSTITUTE(SUBSTITUTE(SUBSTITUTE(SUBSTITUTE(SUBSTITUTE(SUBSTITUTE(SUBSTITUTE(SUBSTITUTE(SUBSTITUTE(SUBSTITUTE(SUBSTITUTE(SUBSTITUTE(Table1[[#This Row],[Tanggal]],"Jan", "Jan"),"Feb","Feb"),"Mar","Mar"),"Apr","Apr"),"Mei","May"),"Jun","Jun"),"Jul","Jul"),"Agu","Aug"),"Sep","Sep"),"Okt","Oct"),"Nov","Nov"),"Des","Dec"))</f>
        <v>47159</v>
      </c>
      <c r="N228" t="str">
        <f>Table1[[#This Row],[ID_Transaksi]]</f>
        <v>INV-1227</v>
      </c>
      <c r="O228" s="5" t="str">
        <f>PROPER(TRIM(SUBSTITUTE(Table1[[#This Row],[Nama_Toko]],"""","")))</f>
        <v>Warung Sehat Bugar</v>
      </c>
      <c r="P228" s="3" t="str">
        <f>PROPER(TRIM(Table1[[#This Row],[Kategori_Produk]]))</f>
        <v>Elektronik</v>
      </c>
      <c r="Q228" t="str">
        <f>PROPER(TRIM(Table1[Nama Produk]))</f>
        <v>Tripod Hp Fleksibel</v>
      </c>
      <c r="R228">
        <f>Table1[[#This Row],[Qty]]</f>
        <v>3</v>
      </c>
      <c r="S228" t="str">
        <f>SUBSTITUTE(SUBSTITUTE(Table1[[#This Row],[Harga_Satuan]],"Rp.",""),".","")</f>
        <v>40000</v>
      </c>
      <c r="T228">
        <f>Table1[[#This Row],[Total_Penjualan]]</f>
        <v>120000</v>
      </c>
      <c r="U228" t="str">
        <f>PROPER(Table1[[#This Row],[Kota]])</f>
        <v>Jakarta</v>
      </c>
      <c r="V228" t="str">
        <f>PROPER(Table1[[#This Row],[Metode_Pembayaran]])</f>
        <v>Kartu Kredit</v>
      </c>
    </row>
    <row r="229" spans="1:22" x14ac:dyDescent="0.25">
      <c r="A229" s="8" t="s">
        <v>1508</v>
      </c>
      <c r="B229" s="5" t="s">
        <v>729</v>
      </c>
      <c r="C229" s="5" t="s">
        <v>1220</v>
      </c>
      <c r="D229" s="5" t="s">
        <v>890</v>
      </c>
      <c r="E229" s="5" t="s">
        <v>730</v>
      </c>
      <c r="F229" s="5">
        <v>5</v>
      </c>
      <c r="G229" s="5">
        <v>55000</v>
      </c>
      <c r="H229" s="5">
        <v>275000</v>
      </c>
      <c r="I229" s="5" t="s">
        <v>899</v>
      </c>
      <c r="J229" s="6" t="s">
        <v>893</v>
      </c>
      <c r="M229" s="10">
        <f>DATEVALUE(SUBSTITUTE(SUBSTITUTE(SUBSTITUTE(SUBSTITUTE(SUBSTITUTE(SUBSTITUTE(SUBSTITUTE(SUBSTITUTE(SUBSTITUTE(SUBSTITUTE(SUBSTITUTE(SUBSTITUTE(Table1[[#This Row],[Tanggal]],"Jan", "Jan"),"Feb","Feb"),"Mar","Mar"),"Apr","Apr"),"Mei","May"),"Jun","Jun"),"Jul","Jul"),"Agu","Aug"),"Sep","Sep"),"Okt","Oct"),"Nov","Nov"),"Des","Dec"))</f>
        <v>47169</v>
      </c>
      <c r="N229" t="str">
        <f>Table1[[#This Row],[ID_Transaksi]]</f>
        <v>TRX-1228</v>
      </c>
      <c r="O229" s="5" t="str">
        <f>PROPER(TRIM(SUBSTITUTE(Table1[[#This Row],[Nama_Toko]],"""","")))</f>
        <v>Gudang Lancar</v>
      </c>
      <c r="P229" s="3" t="str">
        <f>PROPER(TRIM(Table1[[#This Row],[Kategori_Produk]]))</f>
        <v>Kecantikan</v>
      </c>
      <c r="Q229" t="str">
        <f>PROPER(TRIM(Table1[Nama Produk]))</f>
        <v>Pomade Rambut Pria</v>
      </c>
      <c r="R229">
        <f>Table1[[#This Row],[Qty]]</f>
        <v>5</v>
      </c>
      <c r="S229" t="str">
        <f>SUBSTITUTE(SUBSTITUTE(Table1[[#This Row],[Harga_Satuan]],"Rp.",""),".","")</f>
        <v>55000</v>
      </c>
      <c r="T229">
        <f>Table1[[#This Row],[Total_Penjualan]]</f>
        <v>275000</v>
      </c>
      <c r="U229" t="str">
        <f>PROPER(Table1[[#This Row],[Kota]])</f>
        <v>Medan</v>
      </c>
      <c r="V229" t="str">
        <f>PROPER(Table1[[#This Row],[Metode_Pembayaran]])</f>
        <v>Tunai</v>
      </c>
    </row>
    <row r="230" spans="1:22" x14ac:dyDescent="0.25">
      <c r="A230" s="7" t="s">
        <v>1509</v>
      </c>
      <c r="B230" s="5" t="s">
        <v>731</v>
      </c>
      <c r="C230" s="3" t="s">
        <v>1221</v>
      </c>
      <c r="D230" s="3" t="s">
        <v>895</v>
      </c>
      <c r="E230" s="3" t="s">
        <v>1222</v>
      </c>
      <c r="F230" s="3">
        <v>4</v>
      </c>
      <c r="G230" s="3">
        <v>55000</v>
      </c>
      <c r="H230" s="3">
        <v>220000</v>
      </c>
      <c r="I230" s="3" t="s">
        <v>913</v>
      </c>
      <c r="J230" s="4" t="s">
        <v>884</v>
      </c>
      <c r="M230" s="10">
        <f>DATEVALUE(SUBSTITUTE(SUBSTITUTE(SUBSTITUTE(SUBSTITUTE(SUBSTITUTE(SUBSTITUTE(SUBSTITUTE(SUBSTITUTE(SUBSTITUTE(SUBSTITUTE(SUBSTITUTE(SUBSTITUTE(Table1[[#This Row],[Tanggal]],"Jan", "Jan"),"Feb","Feb"),"Mar","Mar"),"Apr","Apr"),"Mei","May"),"Jun","Jun"),"Jul","Jul"),"Agu","Aug"),"Sep","Sep"),"Okt","Oct"),"Nov","Nov"),"Des","Dec"))</f>
        <v>47178</v>
      </c>
      <c r="N230" t="str">
        <f>Table1[[#This Row],[ID_Transaksi]]</f>
        <v>TRX-1229</v>
      </c>
      <c r="O230" s="5" t="str">
        <f>PROPER(TRIM(SUBSTITUTE(Table1[[#This Row],[Nama_Toko]],"""","")))</f>
        <v>Toko Cipta Rasa</v>
      </c>
      <c r="P230" s="3" t="str">
        <f>PROPER(TRIM(Table1[[#This Row],[Kategori_Produk]]))</f>
        <v>Makanan</v>
      </c>
      <c r="Q230" t="str">
        <f>PROPER(TRIM(Table1[Nama Produk]))</f>
        <v>Ayam Potong Segar</v>
      </c>
      <c r="R230">
        <f>Table1[[#This Row],[Qty]]</f>
        <v>4</v>
      </c>
      <c r="S230" t="str">
        <f>SUBSTITUTE(SUBSTITUTE(Table1[[#This Row],[Harga_Satuan]],"Rp.",""),".","")</f>
        <v>55000</v>
      </c>
      <c r="T230">
        <f>Table1[[#This Row],[Total_Penjualan]]</f>
        <v>220000</v>
      </c>
      <c r="U230" t="str">
        <f>PROPER(Table1[[#This Row],[Kota]])</f>
        <v>Yogyakarta</v>
      </c>
      <c r="V230" t="str">
        <f>PROPER(Table1[[#This Row],[Metode_Pembayaran]])</f>
        <v>Kartu Debit</v>
      </c>
    </row>
    <row r="231" spans="1:22" x14ac:dyDescent="0.25">
      <c r="A231" s="8" t="s">
        <v>1510</v>
      </c>
      <c r="B231" s="5" t="s">
        <v>733</v>
      </c>
      <c r="C231" s="5" t="s">
        <v>1223</v>
      </c>
      <c r="D231" s="5" t="s">
        <v>43</v>
      </c>
      <c r="E231" s="5" t="s">
        <v>734</v>
      </c>
      <c r="F231" s="5">
        <v>1</v>
      </c>
      <c r="G231" s="5">
        <v>300000</v>
      </c>
      <c r="H231" s="5">
        <v>300000</v>
      </c>
      <c r="I231" s="5" t="s">
        <v>996</v>
      </c>
      <c r="J231" s="6" t="s">
        <v>880</v>
      </c>
      <c r="M231" s="10">
        <f>DATEVALUE(SUBSTITUTE(SUBSTITUTE(SUBSTITUTE(SUBSTITUTE(SUBSTITUTE(SUBSTITUTE(SUBSTITUTE(SUBSTITUTE(SUBSTITUTE(SUBSTITUTE(SUBSTITUTE(SUBSTITUTE(Table1[[#This Row],[Tanggal]],"Jan", "Jan"),"Feb","Feb"),"Mar","Mar"),"Apr","Apr"),"Mei","May"),"Jun","Jun"),"Jul","Jul"),"Agu","Aug"),"Sep","Sep"),"Okt","Oct"),"Nov","Nov"),"Des","Dec"))</f>
        <v>47192</v>
      </c>
      <c r="N231" t="str">
        <f>Table1[[#This Row],[ID_Transaksi]]</f>
        <v>INV-1230</v>
      </c>
      <c r="O231" s="5" t="str">
        <f>PROPER(TRIM(SUBSTITUTE(Table1[[#This Row],[Nama_Toko]],"""","")))</f>
        <v>Pasar Indah</v>
      </c>
      <c r="P231" s="3" t="str">
        <f>PROPER(TRIM(Table1[[#This Row],[Kategori_Produk]]))</f>
        <v>Pakaian</v>
      </c>
      <c r="Q231" t="str">
        <f>PROPER(TRIM(Table1[Nama Produk]))</f>
        <v>Sepatu Sandal Kulit Wanita</v>
      </c>
      <c r="R231">
        <f>Table1[[#This Row],[Qty]]</f>
        <v>1</v>
      </c>
      <c r="S231" t="str">
        <f>SUBSTITUTE(SUBSTITUTE(Table1[[#This Row],[Harga_Satuan]],"Rp.",""),".","")</f>
        <v>300000</v>
      </c>
      <c r="T231">
        <f>Table1[[#This Row],[Total_Penjualan]]</f>
        <v>300000</v>
      </c>
      <c r="U231" t="str">
        <f>PROPER(Table1[[#This Row],[Kota]])</f>
        <v>Malang</v>
      </c>
      <c r="V231" t="str">
        <f>PROPER(Table1[[#This Row],[Metode_Pembayaran]])</f>
        <v>Tunai</v>
      </c>
    </row>
    <row r="232" spans="1:22" x14ac:dyDescent="0.25">
      <c r="A232" s="7" t="s">
        <v>1511</v>
      </c>
      <c r="B232" s="3" t="s">
        <v>735</v>
      </c>
      <c r="C232" s="3" t="s">
        <v>1224</v>
      </c>
      <c r="D232" s="3" t="s">
        <v>901</v>
      </c>
      <c r="E232" s="3" t="s">
        <v>736</v>
      </c>
      <c r="F232" s="3">
        <v>7</v>
      </c>
      <c r="G232" s="3">
        <v>30000</v>
      </c>
      <c r="H232" s="3">
        <v>210000</v>
      </c>
      <c r="I232" s="3" t="s">
        <v>21</v>
      </c>
      <c r="J232" s="4" t="s">
        <v>29</v>
      </c>
      <c r="M232" s="10">
        <f>DATEVALUE(SUBSTITUTE(SUBSTITUTE(SUBSTITUTE(SUBSTITUTE(SUBSTITUTE(SUBSTITUTE(SUBSTITUTE(SUBSTITUTE(SUBSTITUTE(SUBSTITUTE(SUBSTITUTE(SUBSTITUTE(Table1[[#This Row],[Tanggal]],"Jan", "Jan"),"Feb","Feb"),"Mar","Mar"),"Apr","Apr"),"Mei","May"),"Jun","Jun"),"Jul","Jul"),"Agu","Aug"),"Sep","Sep"),"Okt","Oct"),"Nov","Nov"),"Des","Dec"))</f>
        <v>47202</v>
      </c>
      <c r="N232" t="str">
        <f>Table1[[#This Row],[ID_Transaksi]]</f>
        <v>TRX-1231</v>
      </c>
      <c r="O232" s="5" t="str">
        <f>PROPER(TRIM(SUBSTITUTE(Table1[[#This Row],[Nama_Toko]],"""","")))</f>
        <v>Minimarket Damai</v>
      </c>
      <c r="P232" s="3" t="str">
        <f>PROPER(TRIM(Table1[[#This Row],[Kategori_Produk]]))</f>
        <v>Mainan</v>
      </c>
      <c r="Q232" t="str">
        <f>PROPER(TRIM(Table1[Nama Produk]))</f>
        <v>Set Mainan Dinosaurus</v>
      </c>
      <c r="R232">
        <f>Table1[[#This Row],[Qty]]</f>
        <v>7</v>
      </c>
      <c r="S232" t="str">
        <f>SUBSTITUTE(SUBSTITUTE(Table1[[#This Row],[Harga_Satuan]],"Rp.",""),".","")</f>
        <v>30000</v>
      </c>
      <c r="T232">
        <f>Table1[[#This Row],[Total_Penjualan]]</f>
        <v>210000</v>
      </c>
      <c r="U232" t="str">
        <f>PROPER(Table1[[#This Row],[Kota]])</f>
        <v>Bandung</v>
      </c>
      <c r="V232" t="str">
        <f>PROPER(Table1[[#This Row],[Metode_Pembayaran]])</f>
        <v>Kartu Kredit</v>
      </c>
    </row>
    <row r="233" spans="1:22" x14ac:dyDescent="0.25">
      <c r="A233" s="8" t="s">
        <v>1512</v>
      </c>
      <c r="B233" s="5" t="s">
        <v>737</v>
      </c>
      <c r="C233" s="5" t="s">
        <v>1226</v>
      </c>
      <c r="D233" s="5" t="s">
        <v>12</v>
      </c>
      <c r="E233" s="5" t="s">
        <v>738</v>
      </c>
      <c r="F233" s="5">
        <v>5</v>
      </c>
      <c r="G233" s="5">
        <v>24000</v>
      </c>
      <c r="H233" s="5">
        <v>120000</v>
      </c>
      <c r="I233" s="5" t="s">
        <v>53</v>
      </c>
      <c r="J233" s="6" t="s">
        <v>893</v>
      </c>
      <c r="M233" s="10">
        <f>DATEVALUE(SUBSTITUTE(SUBSTITUTE(SUBSTITUTE(SUBSTITUTE(SUBSTITUTE(SUBSTITUTE(SUBSTITUTE(SUBSTITUTE(SUBSTITUTE(SUBSTITUTE(SUBSTITUTE(SUBSTITUTE(Table1[[#This Row],[Tanggal]],"Jan", "Jan"),"Feb","Feb"),"Mar","Mar"),"Apr","Apr"),"Mei","May"),"Jun","Jun"),"Jul","Jul"),"Agu","Aug"),"Sep","Sep"),"Okt","Oct"),"Nov","Nov"),"Des","Dec"))</f>
        <v>47213</v>
      </c>
      <c r="N233" t="str">
        <f>Table1[[#This Row],[ID_Transaksi]]</f>
        <v>INV-1232</v>
      </c>
      <c r="O233" s="5" t="str">
        <f>PROPER(TRIM(SUBSTITUTE(Table1[[#This Row],[Nama_Toko]],"""","")))</f>
        <v>Toko Sukses</v>
      </c>
      <c r="P233" s="3" t="str">
        <f>PROPER(TRIM(Table1[[#This Row],[Kategori_Produk]]))</f>
        <v>Makanan</v>
      </c>
      <c r="Q233" t="str">
        <f>PROPER(TRIM(Table1[Nama Produk]))</f>
        <v>Ikan Kaleng Tuna</v>
      </c>
      <c r="R233">
        <f>Table1[[#This Row],[Qty]]</f>
        <v>5</v>
      </c>
      <c r="S233" t="str">
        <f>SUBSTITUTE(SUBSTITUTE(Table1[[#This Row],[Harga_Satuan]],"Rp.",""),".","")</f>
        <v>24000</v>
      </c>
      <c r="T233">
        <f>Table1[[#This Row],[Total_Penjualan]]</f>
        <v>120000</v>
      </c>
      <c r="U233" t="str">
        <f>PROPER(Table1[[#This Row],[Kota]])</f>
        <v>Semarang</v>
      </c>
      <c r="V233" t="str">
        <f>PROPER(Table1[[#This Row],[Metode_Pembayaran]])</f>
        <v>Tunai</v>
      </c>
    </row>
    <row r="234" spans="1:22" x14ac:dyDescent="0.25">
      <c r="A234" s="7" t="s">
        <v>1513</v>
      </c>
      <c r="B234" s="3" t="s">
        <v>739</v>
      </c>
      <c r="C234" s="3" t="s">
        <v>1227</v>
      </c>
      <c r="D234" s="3" t="s">
        <v>19</v>
      </c>
      <c r="E234" s="3" t="s">
        <v>740</v>
      </c>
      <c r="F234" s="3">
        <v>15</v>
      </c>
      <c r="G234" s="3">
        <v>6500</v>
      </c>
      <c r="H234" s="3">
        <v>97500</v>
      </c>
      <c r="I234" s="3" t="s">
        <v>28</v>
      </c>
      <c r="J234" s="4" t="s">
        <v>884</v>
      </c>
      <c r="M234" s="10">
        <f>DATEVALUE(SUBSTITUTE(SUBSTITUTE(SUBSTITUTE(SUBSTITUTE(SUBSTITUTE(SUBSTITUTE(SUBSTITUTE(SUBSTITUTE(SUBSTITUTE(SUBSTITUTE(SUBSTITUTE(SUBSTITUTE(Table1[[#This Row],[Tanggal]],"Jan", "Jan"),"Feb","Feb"),"Mar","Mar"),"Apr","Apr"),"Mei","May"),"Jun","Jun"),"Jul","Jul"),"Agu","Aug"),"Sep","Sep"),"Okt","Oct"),"Nov","Nov"),"Des","Dec"))</f>
        <v>47223</v>
      </c>
      <c r="N234" t="str">
        <f>Table1[[#This Row],[ID_Transaksi]]</f>
        <v>TRX-1233</v>
      </c>
      <c r="O234" s="5" t="str">
        <f>PROPER(TRIM(SUBSTITUTE(Table1[[#This Row],[Nama_Toko]],"""","")))</f>
        <v>Grosir Pertiwi</v>
      </c>
      <c r="P234" s="3" t="str">
        <f>PROPER(TRIM(Table1[[#This Row],[Kategori_Produk]]))</f>
        <v>Minuman</v>
      </c>
      <c r="Q234" t="str">
        <f>PROPER(TRIM(Table1[Nama Produk]))</f>
        <v>Soda Rasa Cola Kaleng</v>
      </c>
      <c r="R234">
        <f>Table1[[#This Row],[Qty]]</f>
        <v>15</v>
      </c>
      <c r="S234" t="str">
        <f>SUBSTITUTE(SUBSTITUTE(Table1[[#This Row],[Harga_Satuan]],"Rp.",""),".","")</f>
        <v>6500</v>
      </c>
      <c r="T234">
        <f>Table1[[#This Row],[Total_Penjualan]]</f>
        <v>97500</v>
      </c>
      <c r="U234" t="str">
        <f>PROPER(Table1[[#This Row],[Kota]])</f>
        <v>Surabaya</v>
      </c>
      <c r="V234" t="str">
        <f>PROPER(Table1[[#This Row],[Metode_Pembayaran]])</f>
        <v>Kartu Debit</v>
      </c>
    </row>
    <row r="235" spans="1:22" x14ac:dyDescent="0.25">
      <c r="A235" s="8" t="s">
        <v>1514</v>
      </c>
      <c r="B235" s="5" t="s">
        <v>741</v>
      </c>
      <c r="C235" s="5" t="s">
        <v>1228</v>
      </c>
      <c r="D235" s="5" t="s">
        <v>886</v>
      </c>
      <c r="E235" s="5" t="s">
        <v>743</v>
      </c>
      <c r="F235" s="5">
        <v>2</v>
      </c>
      <c r="G235" s="5">
        <v>90000</v>
      </c>
      <c r="H235" s="5">
        <v>180000</v>
      </c>
      <c r="I235" s="5" t="s">
        <v>937</v>
      </c>
      <c r="J235" s="6" t="s">
        <v>888</v>
      </c>
      <c r="M235" s="10">
        <f>DATEVALUE(SUBSTITUTE(SUBSTITUTE(SUBSTITUTE(SUBSTITUTE(SUBSTITUTE(SUBSTITUTE(SUBSTITUTE(SUBSTITUTE(SUBSTITUTE(SUBSTITUTE(SUBSTITUTE(SUBSTITUTE(Table1[[#This Row],[Tanggal]],"Jan", "Jan"),"Feb","Feb"),"Mar","Mar"),"Apr","Apr"),"Mei","May"),"Jun","Jun"),"Jul","Jul"),"Agu","Aug"),"Sep","Sep"),"Okt","Oct"),"Nov","Nov"),"Des","Dec"))</f>
        <v>47233</v>
      </c>
      <c r="N235" t="str">
        <f>Table1[[#This Row],[ID_Transaksi]]</f>
        <v>INV-1234</v>
      </c>
      <c r="O235" s="5" t="str">
        <f>PROPER(TRIM(SUBSTITUTE(Table1[[#This Row],[Nama_Toko]],"""","")))</f>
        <v>Warung Jaya Selalu</v>
      </c>
      <c r="P235" s="3" t="str">
        <f>PROPER(TRIM(Table1[[#This Row],[Kategori_Produk]]))</f>
        <v>Elektronik</v>
      </c>
      <c r="Q235" t="str">
        <f>PROPER(TRIM(Table1[Nama Produk]))</f>
        <v>Smart Bulb Lampu Pintar</v>
      </c>
      <c r="R235">
        <f>Table1[[#This Row],[Qty]]</f>
        <v>2</v>
      </c>
      <c r="S235" t="str">
        <f>SUBSTITUTE(SUBSTITUTE(Table1[[#This Row],[Harga_Satuan]],"Rp.",""),".","")</f>
        <v>90000</v>
      </c>
      <c r="T235">
        <f>Table1[[#This Row],[Total_Penjualan]]</f>
        <v>180000</v>
      </c>
      <c r="U235" t="str">
        <f>PROPER(Table1[[#This Row],[Kota]])</f>
        <v>Depok</v>
      </c>
      <c r="V235" t="str">
        <f>PROPER(Table1[[#This Row],[Metode_Pembayaran]])</f>
        <v>Kartu Kredit</v>
      </c>
    </row>
    <row r="236" spans="1:22" x14ac:dyDescent="0.25">
      <c r="A236" s="7" t="s">
        <v>1515</v>
      </c>
      <c r="B236" s="3" t="s">
        <v>744</v>
      </c>
      <c r="C236" s="3" t="s">
        <v>1229</v>
      </c>
      <c r="D236" s="3" t="s">
        <v>890</v>
      </c>
      <c r="E236" s="3" t="s">
        <v>1230</v>
      </c>
      <c r="F236" s="3">
        <v>10</v>
      </c>
      <c r="G236" s="3">
        <v>20000</v>
      </c>
      <c r="H236" s="3">
        <v>200000</v>
      </c>
      <c r="I236" s="3" t="s">
        <v>968</v>
      </c>
      <c r="J236" s="4" t="s">
        <v>893</v>
      </c>
      <c r="M236" s="10">
        <f>DATEVALUE(SUBSTITUTE(SUBSTITUTE(SUBSTITUTE(SUBSTITUTE(SUBSTITUTE(SUBSTITUTE(SUBSTITUTE(SUBSTITUTE(SUBSTITUTE(SUBSTITUTE(SUBSTITUTE(SUBSTITUTE(Table1[[#This Row],[Tanggal]],"Jan", "Jan"),"Feb","Feb"),"Mar","Mar"),"Apr","Apr"),"Mei","May"),"Jun","Jun"),"Jul","Jul"),"Agu","Aug"),"Sep","Sep"),"Okt","Oct"),"Nov","Nov"),"Des","Dec"))</f>
        <v>47239</v>
      </c>
      <c r="N236" t="str">
        <f>Table1[[#This Row],[ID_Transaksi]]</f>
        <v>TRX-1235</v>
      </c>
      <c r="O236" s="5" t="str">
        <f>PROPER(TRIM(SUBSTITUTE(Table1[[#This Row],[Nama_Toko]],"""","")))</f>
        <v>Gudang Utama Jaya</v>
      </c>
      <c r="P236" s="3" t="str">
        <f>PROPER(TRIM(Table1[[#This Row],[Kategori_Produk]]))</f>
        <v>Kecantikan</v>
      </c>
      <c r="Q236" t="str">
        <f>PROPER(TRIM(Table1[Nama Produk]))</f>
        <v>Hand Sanitizer Gel 500Ml</v>
      </c>
      <c r="R236">
        <f>Table1[[#This Row],[Qty]]</f>
        <v>10</v>
      </c>
      <c r="S236" t="str">
        <f>SUBSTITUTE(SUBSTITUTE(Table1[[#This Row],[Harga_Satuan]],"Rp.",""),".","")</f>
        <v>20000</v>
      </c>
      <c r="T236">
        <f>Table1[[#This Row],[Total_Penjualan]]</f>
        <v>200000</v>
      </c>
      <c r="U236" t="str">
        <f>PROPER(Table1[[#This Row],[Kota]])</f>
        <v>Jakarta Selatan</v>
      </c>
      <c r="V236" t="str">
        <f>PROPER(Table1[[#This Row],[Metode_Pembayaran]])</f>
        <v>Tunai</v>
      </c>
    </row>
    <row r="237" spans="1:22" x14ac:dyDescent="0.25">
      <c r="A237" s="8" t="s">
        <v>1225</v>
      </c>
      <c r="B237" s="5" t="s">
        <v>746</v>
      </c>
      <c r="C237" s="5" t="s">
        <v>1231</v>
      </c>
      <c r="D237" s="5" t="s">
        <v>895</v>
      </c>
      <c r="E237" s="5" t="s">
        <v>1232</v>
      </c>
      <c r="F237" s="5">
        <v>2</v>
      </c>
      <c r="G237" s="5">
        <v>30000</v>
      </c>
      <c r="H237" s="5">
        <v>60000</v>
      </c>
      <c r="I237" s="5" t="s">
        <v>915</v>
      </c>
      <c r="J237" s="6" t="s">
        <v>884</v>
      </c>
      <c r="M237" s="10">
        <f>DATEVALUE(SUBSTITUTE(SUBSTITUTE(SUBSTITUTE(SUBSTITUTE(SUBSTITUTE(SUBSTITUTE(SUBSTITUTE(SUBSTITUTE(SUBSTITUTE(SUBSTITUTE(SUBSTITUTE(SUBSTITUTE(Table1[[#This Row],[Tanggal]],"Jan", "Jan"),"Feb","Feb"),"Mar","Mar"),"Apr","Apr"),"Mei","May"),"Jun","Jun"),"Jul","Jul"),"Agu","Aug"),"Sep","Sep"),"Okt","Oct"),"Nov","Nov"),"Des","Dec"))</f>
        <v>47248</v>
      </c>
      <c r="N237" t="str">
        <f>Table1[[#This Row],[ID_Transaksi]]</f>
        <v>INV-1236</v>
      </c>
      <c r="O237" s="5" t="str">
        <f>PROPER(TRIM(SUBSTITUTE(Table1[[#This Row],[Nama_Toko]],"""","")))</f>
        <v>Toko Lengkap</v>
      </c>
      <c r="P237" s="3" t="str">
        <f>PROPER(TRIM(Table1[[#This Row],[Kategori_Produk]]))</f>
        <v>Makanan</v>
      </c>
      <c r="Q237" t="str">
        <f>PROPER(TRIM(Table1[Nama Produk]))</f>
        <v>Telur Bebek Pack 6</v>
      </c>
      <c r="R237">
        <f>Table1[[#This Row],[Qty]]</f>
        <v>2</v>
      </c>
      <c r="S237" t="str">
        <f>SUBSTITUTE(SUBSTITUTE(Table1[[#This Row],[Harga_Satuan]],"Rp.",""),".","")</f>
        <v>30000</v>
      </c>
      <c r="T237">
        <f>Table1[[#This Row],[Total_Penjualan]]</f>
        <v>60000</v>
      </c>
      <c r="U237" t="str">
        <f>PROPER(Table1[[#This Row],[Kota]])</f>
        <v>Medan</v>
      </c>
      <c r="V237" t="str">
        <f>PROPER(Table1[[#This Row],[Metode_Pembayaran]])</f>
        <v>Kartu Debit</v>
      </c>
    </row>
    <row r="238" spans="1:22" x14ac:dyDescent="0.25">
      <c r="A238" s="7" t="s">
        <v>1516</v>
      </c>
      <c r="B238" s="3" t="s">
        <v>748</v>
      </c>
      <c r="C238" s="3" t="s">
        <v>1233</v>
      </c>
      <c r="D238" s="3" t="s">
        <v>43</v>
      </c>
      <c r="E238" s="3" t="s">
        <v>749</v>
      </c>
      <c r="F238" s="3">
        <v>1</v>
      </c>
      <c r="G238" s="3">
        <v>280000</v>
      </c>
      <c r="H238" s="3">
        <v>280000</v>
      </c>
      <c r="I238" s="3" t="s">
        <v>913</v>
      </c>
      <c r="J238" s="4" t="s">
        <v>880</v>
      </c>
      <c r="M238" s="10">
        <f>DATEVALUE(SUBSTITUTE(SUBSTITUTE(SUBSTITUTE(SUBSTITUTE(SUBSTITUTE(SUBSTITUTE(SUBSTITUTE(SUBSTITUTE(SUBSTITUTE(SUBSTITUTE(SUBSTITUTE(SUBSTITUTE(Table1[[#This Row],[Tanggal]],"Jan", "Jan"),"Feb","Feb"),"Mar","Mar"),"Apr","Apr"),"Mei","May"),"Jun","Jun"),"Jul","Jul"),"Agu","Aug"),"Sep","Sep"),"Okt","Oct"),"Nov","Nov"),"Des","Dec"))</f>
        <v>47258</v>
      </c>
      <c r="N238" t="str">
        <f>Table1[[#This Row],[ID_Transaksi]]</f>
        <v>TRX-1237</v>
      </c>
      <c r="O238" s="5" t="str">
        <f>PROPER(TRIM(SUBSTITUTE(Table1[[#This Row],[Nama_Toko]],"""","")))</f>
        <v>Pasar Tani</v>
      </c>
      <c r="P238" s="3" t="str">
        <f>PROPER(TRIM(Table1[[#This Row],[Kategori_Produk]]))</f>
        <v>Pakaian</v>
      </c>
      <c r="Q238" t="str">
        <f>PROPER(TRIM(Table1[Nama Produk]))</f>
        <v>Jumpsuit Wanita Fashion</v>
      </c>
      <c r="R238">
        <f>Table1[[#This Row],[Qty]]</f>
        <v>1</v>
      </c>
      <c r="S238" t="str">
        <f>SUBSTITUTE(SUBSTITUTE(Table1[[#This Row],[Harga_Satuan]],"Rp.",""),".","")</f>
        <v>280000</v>
      </c>
      <c r="T238">
        <f>Table1[[#This Row],[Total_Penjualan]]</f>
        <v>280000</v>
      </c>
      <c r="U238" t="str">
        <f>PROPER(Table1[[#This Row],[Kota]])</f>
        <v>Yogyakarta</v>
      </c>
      <c r="V238" t="str">
        <f>PROPER(Table1[[#This Row],[Metode_Pembayaran]])</f>
        <v>Tunai</v>
      </c>
    </row>
    <row r="239" spans="1:22" x14ac:dyDescent="0.25">
      <c r="A239" s="8" t="s">
        <v>1517</v>
      </c>
      <c r="B239" s="5" t="s">
        <v>750</v>
      </c>
      <c r="C239" s="5" t="s">
        <v>985</v>
      </c>
      <c r="D239" s="5" t="s">
        <v>901</v>
      </c>
      <c r="E239" s="5" t="s">
        <v>751</v>
      </c>
      <c r="F239" s="5">
        <v>4</v>
      </c>
      <c r="G239" s="5">
        <v>80000</v>
      </c>
      <c r="H239" s="5">
        <v>320000</v>
      </c>
      <c r="I239" s="5" t="s">
        <v>960</v>
      </c>
      <c r="J239" s="6" t="s">
        <v>29</v>
      </c>
      <c r="M239" s="10">
        <f>DATEVALUE(SUBSTITUTE(SUBSTITUTE(SUBSTITUTE(SUBSTITUTE(SUBSTITUTE(SUBSTITUTE(SUBSTITUTE(SUBSTITUTE(SUBSTITUTE(SUBSTITUTE(SUBSTITUTE(SUBSTITUTE(Table1[[#This Row],[Tanggal]],"Jan", "Jan"),"Feb","Feb"),"Mar","Mar"),"Apr","Apr"),"Mei","May"),"Jun","Jun"),"Jul","Jul"),"Agu","Aug"),"Sep","Sep"),"Okt","Oct"),"Nov","Nov"),"Des","Dec"))</f>
        <v>47270</v>
      </c>
      <c r="N239" t="str">
        <f>Table1[[#This Row],[ID_Transaksi]]</f>
        <v>INV-1238</v>
      </c>
      <c r="O239" s="5" t="str">
        <f>PROPER(TRIM(SUBSTITUTE(Table1[[#This Row],[Nama_Toko]],"""","")))</f>
        <v>Minimarket Pintar</v>
      </c>
      <c r="P239" s="3" t="str">
        <f>PROPER(TRIM(Table1[[#This Row],[Kategori_Produk]]))</f>
        <v>Mainan</v>
      </c>
      <c r="Q239" t="str">
        <f>PROPER(TRIM(Table1[Nama Produk]))</f>
        <v>Bola Basket Anak</v>
      </c>
      <c r="R239">
        <f>Table1[[#This Row],[Qty]]</f>
        <v>4</v>
      </c>
      <c r="S239" t="str">
        <f>SUBSTITUTE(SUBSTITUTE(Table1[[#This Row],[Harga_Satuan]],"Rp.",""),".","")</f>
        <v>80000</v>
      </c>
      <c r="T239">
        <f>Table1[[#This Row],[Total_Penjualan]]</f>
        <v>320000</v>
      </c>
      <c r="U239" t="str">
        <f>PROPER(Table1[[#This Row],[Kota]])</f>
        <v>Malang</v>
      </c>
      <c r="V239" t="str">
        <f>PROPER(Table1[[#This Row],[Metode_Pembayaran]])</f>
        <v>Kartu Kredit</v>
      </c>
    </row>
    <row r="240" spans="1:22" x14ac:dyDescent="0.25">
      <c r="A240" s="7" t="s">
        <v>1518</v>
      </c>
      <c r="B240" s="3" t="s">
        <v>752</v>
      </c>
      <c r="C240" s="3" t="s">
        <v>1234</v>
      </c>
      <c r="D240" s="3" t="s">
        <v>12</v>
      </c>
      <c r="E240" s="3" t="s">
        <v>753</v>
      </c>
      <c r="F240" s="3">
        <v>9</v>
      </c>
      <c r="G240" s="3">
        <v>15000</v>
      </c>
      <c r="H240" s="3">
        <v>135000</v>
      </c>
      <c r="I240" s="3" t="s">
        <v>21</v>
      </c>
      <c r="J240" s="4" t="s">
        <v>893</v>
      </c>
      <c r="M240" s="10">
        <f>DATEVALUE(SUBSTITUTE(SUBSTITUTE(SUBSTITUTE(SUBSTITUTE(SUBSTITUTE(SUBSTITUTE(SUBSTITUTE(SUBSTITUTE(SUBSTITUTE(SUBSTITUTE(SUBSTITUTE(SUBSTITUTE(Table1[[#This Row],[Tanggal]],"Jan", "Jan"),"Feb","Feb"),"Mar","Mar"),"Apr","Apr"),"Mei","May"),"Jun","Jun"),"Jul","Jul"),"Agu","Aug"),"Sep","Sep"),"Okt","Oct"),"Nov","Nov"),"Des","Dec"))</f>
        <v>47284</v>
      </c>
      <c r="N240" t="str">
        <f>Table1[[#This Row],[ID_Transaksi]]</f>
        <v>TRX-1239</v>
      </c>
      <c r="O240" s="5" t="str">
        <f>PROPER(TRIM(SUBSTITUTE(Table1[[#This Row],[Nama_Toko]],"""","")))</f>
        <v>Toko Serba Ada</v>
      </c>
      <c r="P240" s="3" t="str">
        <f>PROPER(TRIM(Table1[[#This Row],[Kategori_Produk]]))</f>
        <v>Makanan</v>
      </c>
      <c r="Q240" t="str">
        <f>PROPER(TRIM(Table1[Nama Produk]))</f>
        <v>Keripik Kentang Original</v>
      </c>
      <c r="R240">
        <f>Table1[[#This Row],[Qty]]</f>
        <v>9</v>
      </c>
      <c r="S240" t="str">
        <f>SUBSTITUTE(SUBSTITUTE(Table1[[#This Row],[Harga_Satuan]],"Rp.",""),".","")</f>
        <v>15000</v>
      </c>
      <c r="T240">
        <f>Table1[[#This Row],[Total_Penjualan]]</f>
        <v>135000</v>
      </c>
      <c r="U240" t="str">
        <f>PROPER(Table1[[#This Row],[Kota]])</f>
        <v>Bandung</v>
      </c>
      <c r="V240" t="str">
        <f>PROPER(Table1[[#This Row],[Metode_Pembayaran]])</f>
        <v>Tunai</v>
      </c>
    </row>
    <row r="241" spans="1:22" x14ac:dyDescent="0.25">
      <c r="A241" s="8" t="s">
        <v>1519</v>
      </c>
      <c r="B241" s="5" t="s">
        <v>754</v>
      </c>
      <c r="C241" s="5" t="s">
        <v>1235</v>
      </c>
      <c r="D241" s="5" t="s">
        <v>19</v>
      </c>
      <c r="E241" s="5" t="s">
        <v>1236</v>
      </c>
      <c r="F241" s="5">
        <v>3</v>
      </c>
      <c r="G241" s="5">
        <v>55000</v>
      </c>
      <c r="H241" s="5">
        <v>165000</v>
      </c>
      <c r="I241" s="5" t="s">
        <v>932</v>
      </c>
      <c r="J241" s="6" t="s">
        <v>884</v>
      </c>
      <c r="M241" s="10">
        <f>DATEVALUE(SUBSTITUTE(SUBSTITUTE(SUBSTITUTE(SUBSTITUTE(SUBSTITUTE(SUBSTITUTE(SUBSTITUTE(SUBSTITUTE(SUBSTITUTE(SUBSTITUTE(SUBSTITUTE(SUBSTITUTE(Table1[[#This Row],[Tanggal]],"Jan", "Jan"),"Feb","Feb"),"Mar","Mar"),"Apr","Apr"),"Mei","May"),"Jun","Jun"),"Jul","Jul"),"Agu","Aug"),"Sep","Sep"),"Okt","Oct"),"Nov","Nov"),"Des","Dec"))</f>
        <v>47294</v>
      </c>
      <c r="N241" t="str">
        <f>Table1[[#This Row],[ID_Transaksi]]</f>
        <v>INV-1240</v>
      </c>
      <c r="O241" s="5" t="str">
        <f>PROPER(TRIM(SUBSTITUTE(Table1[[#This Row],[Nama_Toko]],"""","")))</f>
        <v>Grosir Maju</v>
      </c>
      <c r="P241" s="3" t="str">
        <f>PROPER(TRIM(Table1[[#This Row],[Kategori_Produk]]))</f>
        <v>Minuman</v>
      </c>
      <c r="Q241" t="str">
        <f>PROPER(TRIM(Table1[Nama Produk]))</f>
        <v>Susu Bubuk Full Cream 400G</v>
      </c>
      <c r="R241">
        <f>Table1[[#This Row],[Qty]]</f>
        <v>3</v>
      </c>
      <c r="S241" t="str">
        <f>SUBSTITUTE(SUBSTITUTE(Table1[[#This Row],[Harga_Satuan]],"Rp.",""),".","")</f>
        <v>55000</v>
      </c>
      <c r="T241">
        <f>Table1[[#This Row],[Total_Penjualan]]</f>
        <v>165000</v>
      </c>
      <c r="U241" t="str">
        <f>PROPER(Table1[[#This Row],[Kota]])</f>
        <v>Semarang</v>
      </c>
      <c r="V241" t="str">
        <f>PROPER(Table1[[#This Row],[Metode_Pembayaran]])</f>
        <v>Kartu Debit</v>
      </c>
    </row>
    <row r="242" spans="1:22" x14ac:dyDescent="0.25">
      <c r="A242" s="7" t="s">
        <v>1520</v>
      </c>
      <c r="B242" s="3" t="s">
        <v>756</v>
      </c>
      <c r="C242" s="3" t="s">
        <v>1238</v>
      </c>
      <c r="D242" s="3" t="s">
        <v>886</v>
      </c>
      <c r="E242" s="3" t="s">
        <v>757</v>
      </c>
      <c r="F242" s="3">
        <v>1</v>
      </c>
      <c r="G242" s="3">
        <v>450000</v>
      </c>
      <c r="H242" s="3">
        <v>450000</v>
      </c>
      <c r="I242" s="3" t="s">
        <v>965</v>
      </c>
      <c r="J242" s="4" t="s">
        <v>888</v>
      </c>
      <c r="M242" s="10">
        <f>DATEVALUE(SUBSTITUTE(SUBSTITUTE(SUBSTITUTE(SUBSTITUTE(SUBSTITUTE(SUBSTITUTE(SUBSTITUTE(SUBSTITUTE(SUBSTITUTE(SUBSTITUTE(SUBSTITUTE(SUBSTITUTE(Table1[[#This Row],[Tanggal]],"Jan", "Jan"),"Feb","Feb"),"Mar","Mar"),"Apr","Apr"),"Mei","May"),"Jun","Jun"),"Jul","Jul"),"Agu","Aug"),"Sep","Sep"),"Okt","Oct"),"Nov","Nov"),"Des","Dec"))</f>
        <v>47304</v>
      </c>
      <c r="N242" t="str">
        <f>Table1[[#This Row],[ID_Transaksi]]</f>
        <v>TRX-1241</v>
      </c>
      <c r="O242" s="5" t="str">
        <f>PROPER(TRIM(SUBSTITUTE(Table1[[#This Row],[Nama_Toko]],"""","")))</f>
        <v>Warung Baru</v>
      </c>
      <c r="P242" s="3" t="str">
        <f>PROPER(TRIM(Table1[[#This Row],[Kategori_Produk]]))</f>
        <v>Elektronik</v>
      </c>
      <c r="Q242" t="str">
        <f>PROPER(TRIM(Table1[Nama Produk]))</f>
        <v>Headphone Noise Cancelling</v>
      </c>
      <c r="R242">
        <f>Table1[[#This Row],[Qty]]</f>
        <v>1</v>
      </c>
      <c r="S242" t="str">
        <f>SUBSTITUTE(SUBSTITUTE(Table1[[#This Row],[Harga_Satuan]],"Rp.",""),".","")</f>
        <v>450000</v>
      </c>
      <c r="T242">
        <f>Table1[[#This Row],[Total_Penjualan]]</f>
        <v>450000</v>
      </c>
      <c r="U242" t="str">
        <f>PROPER(Table1[[#This Row],[Kota]])</f>
        <v>Surabaya</v>
      </c>
      <c r="V242" t="str">
        <f>PROPER(Table1[[#This Row],[Metode_Pembayaran]])</f>
        <v>Kartu Kredit</v>
      </c>
    </row>
    <row r="243" spans="1:22" x14ac:dyDescent="0.25">
      <c r="A243" s="8" t="s">
        <v>1521</v>
      </c>
      <c r="B243" s="5" t="s">
        <v>758</v>
      </c>
      <c r="C243" s="5" t="s">
        <v>1119</v>
      </c>
      <c r="D243" s="5" t="s">
        <v>890</v>
      </c>
      <c r="E243" s="5" t="s">
        <v>759</v>
      </c>
      <c r="F243" s="5">
        <v>2</v>
      </c>
      <c r="G243" s="5">
        <v>120000</v>
      </c>
      <c r="H243" s="5">
        <v>240000</v>
      </c>
      <c r="I243" s="5" t="s">
        <v>923</v>
      </c>
      <c r="J243" s="6" t="s">
        <v>893</v>
      </c>
      <c r="M243" s="10">
        <f>DATEVALUE(SUBSTITUTE(SUBSTITUTE(SUBSTITUTE(SUBSTITUTE(SUBSTITUTE(SUBSTITUTE(SUBSTITUTE(SUBSTITUTE(SUBSTITUTE(SUBSTITUTE(SUBSTITUTE(SUBSTITUTE(Table1[[#This Row],[Tanggal]],"Jan", "Jan"),"Feb","Feb"),"Mar","Mar"),"Apr","Apr"),"Mei","May"),"Jun","Jun"),"Jul","Jul"),"Agu","Aug"),"Sep","Sep"),"Okt","Oct"),"Nov","Nov"),"Des","Dec"))</f>
        <v>376032</v>
      </c>
      <c r="N243" t="str">
        <f>Table1[[#This Row],[ID_Transaksi]]</f>
        <v>INV-1242</v>
      </c>
      <c r="O243" s="5" t="str">
        <f>PROPER(TRIM(SUBSTITUTE(Table1[[#This Row],[Nama_Toko]],"""","")))</f>
        <v>Gudang Barokah</v>
      </c>
      <c r="P243" s="3" t="str">
        <f>PROPER(TRIM(Table1[[#This Row],[Kategori_Produk]]))</f>
        <v>Kecantikan</v>
      </c>
      <c r="Q243" t="str">
        <f>PROPER(TRIM(Table1[Nama Produk]))</f>
        <v>Serum Anti Aging Malam</v>
      </c>
      <c r="R243">
        <f>Table1[[#This Row],[Qty]]</f>
        <v>2</v>
      </c>
      <c r="S243" t="str">
        <f>SUBSTITUTE(SUBSTITUTE(Table1[[#This Row],[Harga_Satuan]],"Rp.",""),".","")</f>
        <v>120000</v>
      </c>
      <c r="T243">
        <f>Table1[[#This Row],[Total_Penjualan]]</f>
        <v>240000</v>
      </c>
      <c r="U243" t="str">
        <f>PROPER(Table1[[#This Row],[Kota]])</f>
        <v>Denpasar</v>
      </c>
      <c r="V243" t="str">
        <f>PROPER(Table1[[#This Row],[Metode_Pembayaran]])</f>
        <v>Tunai</v>
      </c>
    </row>
    <row r="244" spans="1:22" x14ac:dyDescent="0.25">
      <c r="A244" s="7" t="s">
        <v>1522</v>
      </c>
      <c r="B244" s="3" t="s">
        <v>760</v>
      </c>
      <c r="C244" s="3" t="s">
        <v>1239</v>
      </c>
      <c r="D244" s="3" t="s">
        <v>895</v>
      </c>
      <c r="E244" s="3" t="s">
        <v>1240</v>
      </c>
      <c r="F244" s="3">
        <v>5</v>
      </c>
      <c r="G244" s="3">
        <v>18000</v>
      </c>
      <c r="H244" s="3">
        <v>90000</v>
      </c>
      <c r="I244" s="3" t="s">
        <v>978</v>
      </c>
      <c r="J244" s="4" t="s">
        <v>884</v>
      </c>
      <c r="M244" s="10">
        <f>DATEVALUE(SUBSTITUTE(SUBSTITUTE(SUBSTITUTE(SUBSTITUTE(SUBSTITUTE(SUBSTITUTE(SUBSTITUTE(SUBSTITUTE(SUBSTITUTE(SUBSTITUTE(SUBSTITUTE(SUBSTITUTE(Table1[[#This Row],[Tanggal]],"Jan", "Jan"),"Feb","Feb"),"Mar","Mar"),"Apr","Apr"),"Mei","May"),"Jun","Jun"),"Jul","Jul"),"Agu","Aug"),"Sep","Sep"),"Okt","Oct"),"Nov","Nov"),"Des","Dec"))</f>
        <v>47324</v>
      </c>
      <c r="N244" t="str">
        <f>Table1[[#This Row],[ID_Transaksi]]</f>
        <v>TRX-1243</v>
      </c>
      <c r="O244" s="5" t="str">
        <f>PROPER(TRIM(SUBSTITUTE(Table1[[#This Row],[Nama_Toko]],"""","")))</f>
        <v>Toko Hoki</v>
      </c>
      <c r="P244" s="3" t="str">
        <f>PROPER(TRIM(Table1[[#This Row],[Kategori_Produk]]))</f>
        <v>Makanan</v>
      </c>
      <c r="Q244" t="str">
        <f>PROPER(TRIM(Table1[Nama Produk]))</f>
        <v>Pasta Gigi Anak</v>
      </c>
      <c r="R244">
        <f>Table1[[#This Row],[Qty]]</f>
        <v>5</v>
      </c>
      <c r="S244" t="str">
        <f>SUBSTITUTE(SUBSTITUTE(Table1[[#This Row],[Harga_Satuan]],"Rp.",""),".","")</f>
        <v>18000</v>
      </c>
      <c r="T244">
        <f>Table1[[#This Row],[Total_Penjualan]]</f>
        <v>90000</v>
      </c>
      <c r="U244" t="str">
        <f>PROPER(Table1[[#This Row],[Kota]])</f>
        <v>Jakarta</v>
      </c>
      <c r="V244" t="str">
        <f>PROPER(Table1[[#This Row],[Metode_Pembayaran]])</f>
        <v>Kartu Debit</v>
      </c>
    </row>
    <row r="245" spans="1:22" x14ac:dyDescent="0.25">
      <c r="A245" s="8" t="s">
        <v>1523</v>
      </c>
      <c r="B245" s="5" t="s">
        <v>762</v>
      </c>
      <c r="C245" s="5" t="s">
        <v>1241</v>
      </c>
      <c r="D245" s="5" t="s">
        <v>43</v>
      </c>
      <c r="E245" s="5" t="s">
        <v>763</v>
      </c>
      <c r="F245" s="5">
        <v>6</v>
      </c>
      <c r="G245" s="5">
        <v>75000</v>
      </c>
      <c r="H245" s="5">
        <v>450000</v>
      </c>
      <c r="I245" s="5" t="s">
        <v>915</v>
      </c>
      <c r="J245" s="6" t="s">
        <v>880</v>
      </c>
      <c r="M245" s="10">
        <f>DATEVALUE(SUBSTITUTE(SUBSTITUTE(SUBSTITUTE(SUBSTITUTE(SUBSTITUTE(SUBSTITUTE(SUBSTITUTE(SUBSTITUTE(SUBSTITUTE(SUBSTITUTE(SUBSTITUTE(SUBSTITUTE(Table1[[#This Row],[Tanggal]],"Jan", "Jan"),"Feb","Feb"),"Mar","Mar"),"Apr","Apr"),"Mei","May"),"Jun","Jun"),"Jul","Jul"),"Agu","Aug"),"Sep","Sep"),"Okt","Oct"),"Nov","Nov"),"Des","Dec"))</f>
        <v>47331</v>
      </c>
      <c r="N245" t="str">
        <f>Table1[[#This Row],[ID_Transaksi]]</f>
        <v>INV-1244</v>
      </c>
      <c r="O245" s="5" t="str">
        <f>PROPER(TRIM(SUBSTITUTE(Table1[[#This Row],[Nama_Toko]],"""","")))</f>
        <v>Pasar Jaya</v>
      </c>
      <c r="P245" s="3" t="str">
        <f>PROPER(TRIM(Table1[[#This Row],[Kategori_Produk]]))</f>
        <v>Pakaian</v>
      </c>
      <c r="Q245" t="str">
        <f>PROPER(TRIM(Table1[Nama Produk]))</f>
        <v>Daster Batik Casual</v>
      </c>
      <c r="R245">
        <f>Table1[[#This Row],[Qty]]</f>
        <v>6</v>
      </c>
      <c r="S245" t="str">
        <f>SUBSTITUTE(SUBSTITUTE(Table1[[#This Row],[Harga_Satuan]],"Rp.",""),".","")</f>
        <v>75000</v>
      </c>
      <c r="T245">
        <f>Table1[[#This Row],[Total_Penjualan]]</f>
        <v>450000</v>
      </c>
      <c r="U245" t="str">
        <f>PROPER(Table1[[#This Row],[Kota]])</f>
        <v>Medan</v>
      </c>
      <c r="V245" t="str">
        <f>PROPER(Table1[[#This Row],[Metode_Pembayaran]])</f>
        <v>Tunai</v>
      </c>
    </row>
    <row r="246" spans="1:22" x14ac:dyDescent="0.25">
      <c r="A246" s="7" t="s">
        <v>1237</v>
      </c>
      <c r="B246" s="3" t="s">
        <v>764</v>
      </c>
      <c r="C246" s="3" t="s">
        <v>1242</v>
      </c>
      <c r="D246" s="3" t="s">
        <v>901</v>
      </c>
      <c r="E246" s="3" t="s">
        <v>765</v>
      </c>
      <c r="F246" s="3">
        <v>12</v>
      </c>
      <c r="G246" s="3">
        <v>15000</v>
      </c>
      <c r="H246" s="3">
        <v>180000</v>
      </c>
      <c r="I246" s="3" t="s">
        <v>913</v>
      </c>
      <c r="J246" s="4" t="s">
        <v>29</v>
      </c>
      <c r="M246" s="10">
        <f>DATEVALUE(SUBSTITUTE(SUBSTITUTE(SUBSTITUTE(SUBSTITUTE(SUBSTITUTE(SUBSTITUTE(SUBSTITUTE(SUBSTITUTE(SUBSTITUTE(SUBSTITUTE(SUBSTITUTE(SUBSTITUTE(Table1[[#This Row],[Tanggal]],"Jan", "Jan"),"Feb","Feb"),"Mar","Mar"),"Apr","Apr"),"Mei","May"),"Jun","Jun"),"Jul","Jul"),"Agu","Aug"),"Sep","Sep"),"Okt","Oct"),"Nov","Nov"),"Des","Dec"))</f>
        <v>376058</v>
      </c>
      <c r="N246" t="str">
        <f>Table1[[#This Row],[ID_Transaksi]]</f>
        <v>TRX-1245</v>
      </c>
      <c r="O246" s="5" t="str">
        <f>PROPER(TRIM(SUBSTITUTE(Table1[[#This Row],[Nama_Toko]],"""","")))</f>
        <v>Minimarket Cepat</v>
      </c>
      <c r="P246" s="3" t="str">
        <f>PROPER(TRIM(Table1[[#This Row],[Kategori_Produk]]))</f>
        <v>Mainan</v>
      </c>
      <c r="Q246" t="str">
        <f>PROPER(TRIM(Table1[Nama Produk]))</f>
        <v>Mainan Pesawat Mini</v>
      </c>
      <c r="R246">
        <f>Table1[[#This Row],[Qty]]</f>
        <v>12</v>
      </c>
      <c r="S246" t="str">
        <f>SUBSTITUTE(SUBSTITUTE(Table1[[#This Row],[Harga_Satuan]],"Rp.",""),".","")</f>
        <v>15000</v>
      </c>
      <c r="T246">
        <f>Table1[[#This Row],[Total_Penjualan]]</f>
        <v>180000</v>
      </c>
      <c r="U246" t="str">
        <f>PROPER(Table1[[#This Row],[Kota]])</f>
        <v>Yogyakarta</v>
      </c>
      <c r="V246" t="str">
        <f>PROPER(Table1[[#This Row],[Metode_Pembayaran]])</f>
        <v>Kartu Kredit</v>
      </c>
    </row>
    <row r="247" spans="1:22" x14ac:dyDescent="0.25">
      <c r="A247" s="8" t="s">
        <v>1524</v>
      </c>
      <c r="B247" s="5" t="s">
        <v>766</v>
      </c>
      <c r="C247" s="5" t="s">
        <v>1243</v>
      </c>
      <c r="D247" s="5" t="s">
        <v>12</v>
      </c>
      <c r="E247" s="5" t="s">
        <v>1244</v>
      </c>
      <c r="F247" s="5">
        <v>4</v>
      </c>
      <c r="G247" s="5">
        <v>32000</v>
      </c>
      <c r="H247" s="5">
        <v>128000</v>
      </c>
      <c r="I247" s="5" t="s">
        <v>960</v>
      </c>
      <c r="J247" s="6" t="s">
        <v>893</v>
      </c>
      <c r="M247" s="10">
        <f>DATEVALUE(SUBSTITUTE(SUBSTITUTE(SUBSTITUTE(SUBSTITUTE(SUBSTITUTE(SUBSTITUTE(SUBSTITUTE(SUBSTITUTE(SUBSTITUTE(SUBSTITUTE(SUBSTITUTE(SUBSTITUTE(Table1[[#This Row],[Tanggal]],"Jan", "Jan"),"Feb","Feb"),"Mar","Mar"),"Apr","Apr"),"Mei","May"),"Jun","Jun"),"Jul","Jul"),"Agu","Aug"),"Sep","Sep"),"Okt","Oct"),"Nov","Nov"),"Des","Dec"))</f>
        <v>47350</v>
      </c>
      <c r="N247" t="str">
        <f>Table1[[#This Row],[ID_Transaksi]]</f>
        <v>INV-1246</v>
      </c>
      <c r="O247" s="5" t="str">
        <f>PROPER(TRIM(SUBSTITUTE(Table1[[#This Row],[Nama_Toko]],"""","")))</f>
        <v>Toko Mulia</v>
      </c>
      <c r="P247" s="3" t="str">
        <f>PROPER(TRIM(Table1[[#This Row],[Kategori_Produk]]))</f>
        <v>Makanan</v>
      </c>
      <c r="Q247" t="str">
        <f>PROPER(TRIM(Table1[Nama Produk]))</f>
        <v>Mentega Putih 500G</v>
      </c>
      <c r="R247">
        <f>Table1[[#This Row],[Qty]]</f>
        <v>4</v>
      </c>
      <c r="S247" t="str">
        <f>SUBSTITUTE(SUBSTITUTE(Table1[[#This Row],[Harga_Satuan]],"Rp.",""),".","")</f>
        <v>32000</v>
      </c>
      <c r="T247">
        <f>Table1[[#This Row],[Total_Penjualan]]</f>
        <v>128000</v>
      </c>
      <c r="U247" t="str">
        <f>PROPER(Table1[[#This Row],[Kota]])</f>
        <v>Malang</v>
      </c>
      <c r="V247" t="str">
        <f>PROPER(Table1[[#This Row],[Metode_Pembayaran]])</f>
        <v>Tunai</v>
      </c>
    </row>
    <row r="248" spans="1:22" x14ac:dyDescent="0.25">
      <c r="A248" s="7" t="s">
        <v>1525</v>
      </c>
      <c r="B248" s="3" t="s">
        <v>768</v>
      </c>
      <c r="C248" s="3" t="s">
        <v>1246</v>
      </c>
      <c r="D248" s="3" t="s">
        <v>19</v>
      </c>
      <c r="E248" s="3" t="s">
        <v>769</v>
      </c>
      <c r="F248" s="3">
        <v>8</v>
      </c>
      <c r="G248" s="3">
        <v>16000</v>
      </c>
      <c r="H248" s="3">
        <v>128000</v>
      </c>
      <c r="I248" s="3" t="s">
        <v>883</v>
      </c>
      <c r="J248" s="4" t="s">
        <v>884</v>
      </c>
      <c r="M248" s="10">
        <f>DATEVALUE(SUBSTITUTE(SUBSTITUTE(SUBSTITUTE(SUBSTITUTE(SUBSTITUTE(SUBSTITUTE(SUBSTITUTE(SUBSTITUTE(SUBSTITUTE(SUBSTITUTE(SUBSTITUTE(SUBSTITUTE(Table1[[#This Row],[Tanggal]],"Jan", "Jan"),"Feb","Feb"),"Mar","Mar"),"Apr","Apr"),"Mei","May"),"Jun","Jun"),"Jul","Jul"),"Agu","Aug"),"Sep","Sep"),"Okt","Oct"),"Nov","Nov"),"Des","Dec"))</f>
        <v>47362</v>
      </c>
      <c r="N248" t="str">
        <f>Table1[[#This Row],[ID_Transaksi]]</f>
        <v>TRX-1247</v>
      </c>
      <c r="O248" s="5" t="str">
        <f>PROPER(TRIM(SUBSTITUTE(Table1[[#This Row],[Nama_Toko]],"""","")))</f>
        <v>Grosir Laris</v>
      </c>
      <c r="P248" s="3" t="str">
        <f>PROPER(TRIM(Table1[[#This Row],[Kategori_Produk]]))</f>
        <v>Minuman</v>
      </c>
      <c r="Q248" t="str">
        <f>PROPER(TRIM(Table1[Nama Produk]))</f>
        <v>Jus Jambu Biji 1L</v>
      </c>
      <c r="R248">
        <f>Table1[[#This Row],[Qty]]</f>
        <v>8</v>
      </c>
      <c r="S248" t="str">
        <f>SUBSTITUTE(SUBSTITUTE(Table1[[#This Row],[Harga_Satuan]],"Rp.",""),".","")</f>
        <v>16000</v>
      </c>
      <c r="T248">
        <f>Table1[[#This Row],[Total_Penjualan]]</f>
        <v>128000</v>
      </c>
      <c r="U248" t="str">
        <f>PROPER(Table1[[#This Row],[Kota]])</f>
        <v>Bandung</v>
      </c>
      <c r="V248" t="str">
        <f>PROPER(Table1[[#This Row],[Metode_Pembayaran]])</f>
        <v>Kartu Debit</v>
      </c>
    </row>
    <row r="249" spans="1:22" x14ac:dyDescent="0.25">
      <c r="A249" s="8" t="s">
        <v>1526</v>
      </c>
      <c r="B249" s="5" t="s">
        <v>771</v>
      </c>
      <c r="C249" s="5" t="s">
        <v>1247</v>
      </c>
      <c r="D249" s="5" t="s">
        <v>886</v>
      </c>
      <c r="E249" s="5" t="s">
        <v>772</v>
      </c>
      <c r="F249" s="5">
        <v>1</v>
      </c>
      <c r="G249" s="5">
        <v>60000</v>
      </c>
      <c r="H249" s="5">
        <v>60000</v>
      </c>
      <c r="I249" s="5" t="s">
        <v>919</v>
      </c>
      <c r="J249" s="6" t="s">
        <v>888</v>
      </c>
      <c r="M249" s="10">
        <f>DATEVALUE(SUBSTITUTE(SUBSTITUTE(SUBSTITUTE(SUBSTITUTE(SUBSTITUTE(SUBSTITUTE(SUBSTITUTE(SUBSTITUTE(SUBSTITUTE(SUBSTITUTE(SUBSTITUTE(SUBSTITUTE(Table1[[#This Row],[Tanggal]],"Jan", "Jan"),"Feb","Feb"),"Mar","Mar"),"Apr","Apr"),"Mei","May"),"Jun","Jun"),"Jul","Jul"),"Agu","Aug"),"Sep","Sep"),"Okt","Oct"),"Nov","Nov"),"Des","Dec"))</f>
        <v>376094</v>
      </c>
      <c r="N249" t="str">
        <f>Table1[[#This Row],[ID_Transaksi]]</f>
        <v>INV-1248</v>
      </c>
      <c r="O249" s="5" t="str">
        <f>PROPER(TRIM(SUBSTITUTE(Table1[[#This Row],[Nama_Toko]],"""","")))</f>
        <v>Warung Kecil Pojok</v>
      </c>
      <c r="P249" s="3" t="str">
        <f>PROPER(TRIM(Table1[[#This Row],[Kategori_Produk]]))</f>
        <v>Elektronik</v>
      </c>
      <c r="Q249" t="str">
        <f>PROPER(TRIM(Table1[Nama Produk]))</f>
        <v>Kabel Ekstensi Roll</v>
      </c>
      <c r="R249">
        <f>Table1[[#This Row],[Qty]]</f>
        <v>1</v>
      </c>
      <c r="S249" t="str">
        <f>SUBSTITUTE(SUBSTITUTE(Table1[[#This Row],[Harga_Satuan]],"Rp.",""),".","")</f>
        <v>60000</v>
      </c>
      <c r="T249">
        <f>Table1[[#This Row],[Total_Penjualan]]</f>
        <v>60000</v>
      </c>
      <c r="U249" t="str">
        <f>PROPER(Table1[[#This Row],[Kota]])</f>
        <v>Semarang</v>
      </c>
      <c r="V249" t="str">
        <f>PROPER(Table1[[#This Row],[Metode_Pembayaran]])</f>
        <v>Kartu Kredit</v>
      </c>
    </row>
    <row r="250" spans="1:22" x14ac:dyDescent="0.25">
      <c r="A250" s="7" t="s">
        <v>1527</v>
      </c>
      <c r="B250" s="3" t="s">
        <v>773</v>
      </c>
      <c r="C250" s="3" t="s">
        <v>991</v>
      </c>
      <c r="D250" s="3" t="s">
        <v>890</v>
      </c>
      <c r="E250" s="3" t="s">
        <v>774</v>
      </c>
      <c r="F250" s="3">
        <v>3</v>
      </c>
      <c r="G250" s="3">
        <v>35000</v>
      </c>
      <c r="H250" s="3">
        <v>105000</v>
      </c>
      <c r="I250" s="3" t="s">
        <v>951</v>
      </c>
      <c r="J250" s="4" t="s">
        <v>893</v>
      </c>
      <c r="M250" s="10">
        <f>DATEVALUE(SUBSTITUTE(SUBSTITUTE(SUBSTITUTE(SUBSTITUTE(SUBSTITUTE(SUBSTITUTE(SUBSTITUTE(SUBSTITUTE(SUBSTITUTE(SUBSTITUTE(SUBSTITUTE(SUBSTITUTE(Table1[[#This Row],[Tanggal]],"Jan", "Jan"),"Feb","Feb"),"Mar","Mar"),"Apr","Apr"),"Mei","May"),"Jun","Jun"),"Jul","Jul"),"Agu","Aug"),"Sep","Sep"),"Okt","Oct"),"Nov","Nov"),"Des","Dec"))</f>
        <v>47386</v>
      </c>
      <c r="N250" t="str">
        <f>Table1[[#This Row],[ID_Transaksi]]</f>
        <v>TRX-1249</v>
      </c>
      <c r="O250" s="5" t="str">
        <f>PROPER(TRIM(SUBSTITUTE(Table1[[#This Row],[Nama_Toko]],"""","")))</f>
        <v>Gudang Utama</v>
      </c>
      <c r="P250" s="3" t="str">
        <f>PROPER(TRIM(Table1[[#This Row],[Kategori_Produk]]))</f>
        <v>Kecantikan</v>
      </c>
      <c r="Q250" t="str">
        <f>PROPER(TRIM(Table1[Nama Produk]))</f>
        <v>Lulur Mandi Tradisional</v>
      </c>
      <c r="R250">
        <f>Table1[[#This Row],[Qty]]</f>
        <v>3</v>
      </c>
      <c r="S250" t="str">
        <f>SUBSTITUTE(SUBSTITUTE(Table1[[#This Row],[Harga_Satuan]],"Rp.",""),".","")</f>
        <v>35000</v>
      </c>
      <c r="T250">
        <f>Table1[[#This Row],[Total_Penjualan]]</f>
        <v>105000</v>
      </c>
      <c r="U250" t="str">
        <f>PROPER(Table1[[#This Row],[Kota]])</f>
        <v>Surabaya</v>
      </c>
      <c r="V250" t="str">
        <f>PROPER(Table1[[#This Row],[Metode_Pembayaran]])</f>
        <v>Tunai</v>
      </c>
    </row>
    <row r="251" spans="1:22" x14ac:dyDescent="0.25">
      <c r="A251" s="8" t="s">
        <v>1528</v>
      </c>
      <c r="B251" s="5" t="s">
        <v>775</v>
      </c>
      <c r="C251" s="5" t="s">
        <v>1248</v>
      </c>
      <c r="D251" s="5" t="s">
        <v>895</v>
      </c>
      <c r="E251" s="5" t="s">
        <v>1249</v>
      </c>
      <c r="F251" s="5">
        <v>10</v>
      </c>
      <c r="G251" s="5">
        <v>19000</v>
      </c>
      <c r="H251" s="5">
        <v>190000</v>
      </c>
      <c r="I251" s="5" t="s">
        <v>937</v>
      </c>
      <c r="J251" s="6" t="s">
        <v>884</v>
      </c>
      <c r="M251" s="10">
        <f>DATEVALUE(SUBSTITUTE(SUBSTITUTE(SUBSTITUTE(SUBSTITUTE(SUBSTITUTE(SUBSTITUTE(SUBSTITUTE(SUBSTITUTE(SUBSTITUTE(SUBSTITUTE(SUBSTITUTE(SUBSTITUTE(Table1[[#This Row],[Tanggal]],"Jan", "Jan"),"Feb","Feb"),"Mar","Mar"),"Apr","Apr"),"Mei","May"),"Jun","Jun"),"Jul","Jul"),"Agu","Aug"),"Sep","Sep"),"Okt","Oct"),"Nov","Nov"),"Des","Dec"))</f>
        <v>47396</v>
      </c>
      <c r="N251" t="str">
        <f>Table1[[#This Row],[ID_Transaksi]]</f>
        <v>INV-1250</v>
      </c>
      <c r="O251" s="5" t="str">
        <f>PROPER(TRIM(SUBSTITUTE(Table1[[#This Row],[Nama_Toko]],"""","")))</f>
        <v>Toko Pelangi</v>
      </c>
      <c r="P251" s="3" t="str">
        <f>PROPER(TRIM(Table1[[#This Row],[Kategori_Produk]]))</f>
        <v>Makanan</v>
      </c>
      <c r="Q251" t="str">
        <f>PROPER(TRIM(Table1[Nama Produk]))</f>
        <v>Sarden Saus Cabai</v>
      </c>
      <c r="R251">
        <f>Table1[[#This Row],[Qty]]</f>
        <v>10</v>
      </c>
      <c r="S251" t="str">
        <f>SUBSTITUTE(SUBSTITUTE(Table1[[#This Row],[Harga_Satuan]],"Rp.",""),".","")</f>
        <v>19000</v>
      </c>
      <c r="T251">
        <f>Table1[[#This Row],[Total_Penjualan]]</f>
        <v>190000</v>
      </c>
      <c r="U251" t="str">
        <f>PROPER(Table1[[#This Row],[Kota]])</f>
        <v>Depok</v>
      </c>
      <c r="V251" t="str">
        <f>PROPER(Table1[[#This Row],[Metode_Pembayaran]])</f>
        <v>Kartu Debit</v>
      </c>
    </row>
    <row r="252" spans="1:22" x14ac:dyDescent="0.25">
      <c r="A252" s="7" t="s">
        <v>1245</v>
      </c>
      <c r="B252" s="3" t="s">
        <v>777</v>
      </c>
      <c r="C252" s="3" t="s">
        <v>1250</v>
      </c>
      <c r="D252" s="3" t="s">
        <v>43</v>
      </c>
      <c r="E252" s="3" t="s">
        <v>778</v>
      </c>
      <c r="F252" s="3">
        <v>1</v>
      </c>
      <c r="G252" s="3">
        <v>400000</v>
      </c>
      <c r="H252" s="3">
        <v>400000</v>
      </c>
      <c r="I252" s="3" t="s">
        <v>968</v>
      </c>
      <c r="J252" s="4" t="s">
        <v>880</v>
      </c>
      <c r="M252" s="10">
        <f>DATEVALUE(SUBSTITUTE(SUBSTITUTE(SUBSTITUTE(SUBSTITUTE(SUBSTITUTE(SUBSTITUTE(SUBSTITUTE(SUBSTITUTE(SUBSTITUTE(SUBSTITUTE(SUBSTITUTE(SUBSTITUTE(Table1[[#This Row],[Tanggal]],"Jan", "Jan"),"Feb","Feb"),"Mar","Mar"),"Apr","Apr"),"Mei","May"),"Jun","Jun"),"Jul","Jul"),"Agu","Aug"),"Sep","Sep"),"Okt","Oct"),"Nov","Nov"),"Des","Dec"))</f>
        <v>376124</v>
      </c>
      <c r="N252" t="str">
        <f>Table1[[#This Row],[ID_Transaksi]]</f>
        <v>TRX-1251</v>
      </c>
      <c r="O252" s="5" t="str">
        <f>PROPER(TRIM(SUBSTITUTE(Table1[[#This Row],[Nama_Toko]],"""","")))</f>
        <v>Pasar Subuh</v>
      </c>
      <c r="P252" s="3" t="str">
        <f>PROPER(TRIM(Table1[[#This Row],[Kategori_Produk]]))</f>
        <v>Pakaian</v>
      </c>
      <c r="Q252" t="str">
        <f>PROPER(TRIM(Table1[Nama Produk]))</f>
        <v>Jaket Bomber Pria</v>
      </c>
      <c r="R252">
        <f>Table1[[#This Row],[Qty]]</f>
        <v>1</v>
      </c>
      <c r="S252" t="str">
        <f>SUBSTITUTE(SUBSTITUTE(Table1[[#This Row],[Harga_Satuan]],"Rp.",""),".","")</f>
        <v>400000</v>
      </c>
      <c r="T252">
        <f>Table1[[#This Row],[Total_Penjualan]]</f>
        <v>400000</v>
      </c>
      <c r="U252" t="str">
        <f>PROPER(Table1[[#This Row],[Kota]])</f>
        <v>Jakarta Selatan</v>
      </c>
      <c r="V252" t="str">
        <f>PROPER(Table1[[#This Row],[Metode_Pembayaran]])</f>
        <v>Tunai</v>
      </c>
    </row>
    <row r="253" spans="1:22" x14ac:dyDescent="0.25">
      <c r="A253" s="8" t="s">
        <v>1529</v>
      </c>
      <c r="B253" s="5" t="s">
        <v>779</v>
      </c>
      <c r="C253" s="5" t="s">
        <v>1067</v>
      </c>
      <c r="D253" s="5" t="s">
        <v>901</v>
      </c>
      <c r="E253" s="5" t="s">
        <v>780</v>
      </c>
      <c r="F253" s="5">
        <v>2</v>
      </c>
      <c r="G253" s="5">
        <v>150000</v>
      </c>
      <c r="H253" s="5">
        <v>300000</v>
      </c>
      <c r="I253" s="5" t="s">
        <v>915</v>
      </c>
      <c r="J253" s="6" t="s">
        <v>29</v>
      </c>
      <c r="M253" s="10">
        <f>DATEVALUE(SUBSTITUTE(SUBSTITUTE(SUBSTITUTE(SUBSTITUTE(SUBSTITUTE(SUBSTITUTE(SUBSTITUTE(SUBSTITUTE(SUBSTITUTE(SUBSTITUTE(SUBSTITUTE(SUBSTITUTE(Table1[[#This Row],[Tanggal]],"Jan", "Jan"),"Feb","Feb"),"Mar","Mar"),"Apr","Apr"),"Mei","May"),"Jun","Jun"),"Jul","Jul"),"Agu","Aug"),"Sep","Sep"),"Okt","Oct"),"Nov","Nov"),"Des","Dec"))</f>
        <v>47416</v>
      </c>
      <c r="N253" t="str">
        <f>Table1[[#This Row],[ID_Transaksi]]</f>
        <v>INV-1252</v>
      </c>
      <c r="O253" s="5" t="str">
        <f>PROPER(TRIM(SUBSTITUTE(Table1[[#This Row],[Nama_Toko]],"""","")))</f>
        <v>Minimarket Pusat</v>
      </c>
      <c r="P253" s="3" t="str">
        <f>PROPER(TRIM(Table1[[#This Row],[Kategori_Produk]]))</f>
        <v>Mainan</v>
      </c>
      <c r="Q253" t="str">
        <f>PROPER(TRIM(Table1[Nama Produk]))</f>
        <v>Papan Seluncur Anak</v>
      </c>
      <c r="R253">
        <f>Table1[[#This Row],[Qty]]</f>
        <v>2</v>
      </c>
      <c r="S253" t="str">
        <f>SUBSTITUTE(SUBSTITUTE(Table1[[#This Row],[Harga_Satuan]],"Rp.",""),".","")</f>
        <v>150000</v>
      </c>
      <c r="T253">
        <f>Table1[[#This Row],[Total_Penjualan]]</f>
        <v>300000</v>
      </c>
      <c r="U253" t="str">
        <f>PROPER(Table1[[#This Row],[Kota]])</f>
        <v>Medan</v>
      </c>
      <c r="V253" t="str">
        <f>PROPER(Table1[[#This Row],[Metode_Pembayaran]])</f>
        <v>Kartu Kredit</v>
      </c>
    </row>
    <row r="254" spans="1:22" x14ac:dyDescent="0.25">
      <c r="A254" s="7" t="s">
        <v>1530</v>
      </c>
      <c r="B254" s="3" t="s">
        <v>781</v>
      </c>
      <c r="C254" s="3" t="s">
        <v>1252</v>
      </c>
      <c r="D254" s="3" t="s">
        <v>12</v>
      </c>
      <c r="E254" s="3" t="s">
        <v>782</v>
      </c>
      <c r="F254" s="3">
        <v>5</v>
      </c>
      <c r="G254" s="3">
        <v>10000</v>
      </c>
      <c r="H254" s="3">
        <v>50000</v>
      </c>
      <c r="I254" s="3" t="s">
        <v>913</v>
      </c>
      <c r="J254" s="4" t="s">
        <v>893</v>
      </c>
      <c r="M254" s="10">
        <f>DATEVALUE(SUBSTITUTE(SUBSTITUTE(SUBSTITUTE(SUBSTITUTE(SUBSTITUTE(SUBSTITUTE(SUBSTITUTE(SUBSTITUTE(SUBSTITUTE(SUBSTITUTE(SUBSTITUTE(SUBSTITUTE(Table1[[#This Row],[Tanggal]],"Jan", "Jan"),"Feb","Feb"),"Mar","Mar"),"Apr","Apr"),"Mei","May"),"Jun","Jun"),"Jul","Jul"),"Agu","Aug"),"Sep","Sep"),"Okt","Oct"),"Nov","Nov"),"Des","Dec"))</f>
        <v>47423</v>
      </c>
      <c r="N254" t="str">
        <f>Table1[[#This Row],[ID_Transaksi]]</f>
        <v>TRX-1253</v>
      </c>
      <c r="O254" s="5" t="str">
        <f>PROPER(TRIM(SUBSTITUTE(Table1[[#This Row],[Nama_Toko]],"""","")))</f>
        <v>Toko Abadi Selalu</v>
      </c>
      <c r="P254" s="3" t="str">
        <f>PROPER(TRIM(Table1[[#This Row],[Kategori_Produk]]))</f>
        <v>Makanan</v>
      </c>
      <c r="Q254" t="str">
        <f>PROPER(TRIM(Table1[Nama Produk]))</f>
        <v>Nasi Goreng Instan Pack</v>
      </c>
      <c r="R254">
        <f>Table1[[#This Row],[Qty]]</f>
        <v>5</v>
      </c>
      <c r="S254" t="str">
        <f>SUBSTITUTE(SUBSTITUTE(Table1[[#This Row],[Harga_Satuan]],"Rp.",""),".","")</f>
        <v>10000</v>
      </c>
      <c r="T254">
        <f>Table1[[#This Row],[Total_Penjualan]]</f>
        <v>50000</v>
      </c>
      <c r="U254" t="str">
        <f>PROPER(Table1[[#This Row],[Kota]])</f>
        <v>Yogyakarta</v>
      </c>
      <c r="V254" t="str">
        <f>PROPER(Table1[[#This Row],[Metode_Pembayaran]])</f>
        <v>Tunai</v>
      </c>
    </row>
    <row r="255" spans="1:22" x14ac:dyDescent="0.25">
      <c r="A255" s="8" t="s">
        <v>1531</v>
      </c>
      <c r="B255" s="5" t="s">
        <v>783</v>
      </c>
      <c r="C255" s="5" t="s">
        <v>1253</v>
      </c>
      <c r="D255" s="5" t="s">
        <v>19</v>
      </c>
      <c r="E255" s="5" t="s">
        <v>784</v>
      </c>
      <c r="F255" s="5">
        <v>2</v>
      </c>
      <c r="G255" s="5">
        <v>30000</v>
      </c>
      <c r="H255" s="5">
        <v>60000</v>
      </c>
      <c r="I255" s="5" t="s">
        <v>960</v>
      </c>
      <c r="J255" s="6" t="s">
        <v>884</v>
      </c>
      <c r="M255" s="10">
        <f>DATEVALUE(SUBSTITUTE(SUBSTITUTE(SUBSTITUTE(SUBSTITUTE(SUBSTITUTE(SUBSTITUTE(SUBSTITUTE(SUBSTITUTE(SUBSTITUTE(SUBSTITUTE(SUBSTITUTE(SUBSTITUTE(Table1[[#This Row],[Tanggal]],"Jan", "Jan"),"Feb","Feb"),"Mar","Mar"),"Apr","Apr"),"Mei","May"),"Jun","Jun"),"Jul","Jul"),"Agu","Aug"),"Sep","Sep"),"Okt","Oct"),"Nov","Nov"),"Des","Dec"))</f>
        <v>376150</v>
      </c>
      <c r="N255" t="str">
        <f>Table1[[#This Row],[ID_Transaksi]]</f>
        <v>INV-1254</v>
      </c>
      <c r="O255" s="5" t="str">
        <f>PROPER(TRIM(SUBSTITUTE(Table1[[#This Row],[Nama_Toko]],"""","")))</f>
        <v>Grosir Senja</v>
      </c>
      <c r="P255" s="3" t="str">
        <f>PROPER(TRIM(Table1[[#This Row],[Kategori_Produk]]))</f>
        <v>Minuman</v>
      </c>
      <c r="Q255" t="str">
        <f>PROPER(TRIM(Table1[Nama Produk]))</f>
        <v>Sirup Rasa Mawar Botol</v>
      </c>
      <c r="R255">
        <f>Table1[[#This Row],[Qty]]</f>
        <v>2</v>
      </c>
      <c r="S255" t="str">
        <f>SUBSTITUTE(SUBSTITUTE(Table1[[#This Row],[Harga_Satuan]],"Rp.",""),".","")</f>
        <v>30000</v>
      </c>
      <c r="T255">
        <f>Table1[[#This Row],[Total_Penjualan]]</f>
        <v>60000</v>
      </c>
      <c r="U255" t="str">
        <f>PROPER(Table1[[#This Row],[Kota]])</f>
        <v>Malang</v>
      </c>
      <c r="V255" t="str">
        <f>PROPER(Table1[[#This Row],[Metode_Pembayaran]])</f>
        <v>Kartu Debit</v>
      </c>
    </row>
    <row r="256" spans="1:22" x14ac:dyDescent="0.25">
      <c r="A256" s="7" t="s">
        <v>1532</v>
      </c>
      <c r="B256" s="3" t="s">
        <v>785</v>
      </c>
      <c r="C256" s="3" t="s">
        <v>1254</v>
      </c>
      <c r="D256" s="3" t="s">
        <v>886</v>
      </c>
      <c r="E256" s="3" t="s">
        <v>786</v>
      </c>
      <c r="F256" s="3">
        <v>4</v>
      </c>
      <c r="G256" s="3">
        <v>50000</v>
      </c>
      <c r="H256" s="3">
        <v>200000</v>
      </c>
      <c r="I256" s="3" t="s">
        <v>883</v>
      </c>
      <c r="J256" s="4" t="s">
        <v>888</v>
      </c>
      <c r="M256" s="10">
        <f>DATEVALUE(SUBSTITUTE(SUBSTITUTE(SUBSTITUTE(SUBSTITUTE(SUBSTITUTE(SUBSTITUTE(SUBSTITUTE(SUBSTITUTE(SUBSTITUTE(SUBSTITUTE(SUBSTITUTE(SUBSTITUTE(Table1[[#This Row],[Tanggal]],"Jan", "Jan"),"Feb","Feb"),"Mar","Mar"),"Apr","Apr"),"Mei","May"),"Jun","Jun"),"Jul","Jul"),"Agu","Aug"),"Sep","Sep"),"Okt","Oct"),"Nov","Nov"),"Des","Dec"))</f>
        <v>47442</v>
      </c>
      <c r="N256" t="str">
        <f>Table1[[#This Row],[ID_Transaksi]]</f>
        <v>TRX-1255</v>
      </c>
      <c r="O256" s="5" t="str">
        <f>PROPER(TRIM(SUBSTITUTE(Table1[[#This Row],[Nama_Toko]],"""","")))</f>
        <v>Warung Santai</v>
      </c>
      <c r="P256" s="3" t="str">
        <f>PROPER(TRIM(Table1[[#This Row],[Kategori_Produk]]))</f>
        <v>Elektronik</v>
      </c>
      <c r="Q256" t="str">
        <f>PROPER(TRIM(Table1[Nama Produk]))</f>
        <v>Power Adapter Universal</v>
      </c>
      <c r="R256">
        <f>Table1[[#This Row],[Qty]]</f>
        <v>4</v>
      </c>
      <c r="S256" t="str">
        <f>SUBSTITUTE(SUBSTITUTE(Table1[[#This Row],[Harga_Satuan]],"Rp.",""),".","")</f>
        <v>50000</v>
      </c>
      <c r="T256">
        <f>Table1[[#This Row],[Total_Penjualan]]</f>
        <v>200000</v>
      </c>
      <c r="U256" t="str">
        <f>PROPER(Table1[[#This Row],[Kota]])</f>
        <v>Bandung</v>
      </c>
      <c r="V256" t="str">
        <f>PROPER(Table1[[#This Row],[Metode_Pembayaran]])</f>
        <v>Kartu Kredit</v>
      </c>
    </row>
    <row r="257" spans="1:22" x14ac:dyDescent="0.25">
      <c r="A257" s="8" t="s">
        <v>1533</v>
      </c>
      <c r="B257" s="5" t="s">
        <v>787</v>
      </c>
      <c r="C257" s="5" t="s">
        <v>1050</v>
      </c>
      <c r="D257" s="5" t="s">
        <v>890</v>
      </c>
      <c r="E257" s="5" t="s">
        <v>788</v>
      </c>
      <c r="F257" s="5">
        <v>1</v>
      </c>
      <c r="G257" s="5">
        <v>95000</v>
      </c>
      <c r="H257" s="5">
        <v>95000</v>
      </c>
      <c r="I257" s="5" t="s">
        <v>932</v>
      </c>
      <c r="J257" s="6" t="s">
        <v>893</v>
      </c>
      <c r="M257" s="10">
        <f>DATEVALUE(SUBSTITUTE(SUBSTITUTE(SUBSTITUTE(SUBSTITUTE(SUBSTITUTE(SUBSTITUTE(SUBSTITUTE(SUBSTITUTE(SUBSTITUTE(SUBSTITUTE(SUBSTITUTE(SUBSTITUTE(Table1[[#This Row],[Tanggal]],"Jan", "Jan"),"Feb","Feb"),"Mar","Mar"),"Apr","Apr"),"Mei","May"),"Jun","Jun"),"Jul","Jul"),"Agu","Aug"),"Sep","Sep"),"Okt","Oct"),"Nov","Nov"),"Des","Dec"))</f>
        <v>47453</v>
      </c>
      <c r="N257" t="str">
        <f>Table1[[#This Row],[ID_Transaksi]]</f>
        <v>INV-1256</v>
      </c>
      <c r="O257" s="5" t="str">
        <f>PROPER(TRIM(SUBSTITUTE(Table1[[#This Row],[Nama_Toko]],"""","")))</f>
        <v>Gudang Barat</v>
      </c>
      <c r="P257" s="3" t="str">
        <f>PROPER(TRIM(Table1[[#This Row],[Kategori_Produk]]))</f>
        <v>Kecantikan</v>
      </c>
      <c r="Q257" t="str">
        <f>PROPER(TRIM(Table1[Nama Produk]))</f>
        <v>Bedak Padat Anti Minyak</v>
      </c>
      <c r="R257">
        <f>Table1[[#This Row],[Qty]]</f>
        <v>1</v>
      </c>
      <c r="S257" t="str">
        <f>SUBSTITUTE(SUBSTITUTE(Table1[[#This Row],[Harga_Satuan]],"Rp.",""),".","")</f>
        <v>95000</v>
      </c>
      <c r="T257">
        <f>Table1[[#This Row],[Total_Penjualan]]</f>
        <v>95000</v>
      </c>
      <c r="U257" t="str">
        <f>PROPER(Table1[[#This Row],[Kota]])</f>
        <v>Semarang</v>
      </c>
      <c r="V257" t="str">
        <f>PROPER(Table1[[#This Row],[Metode_Pembayaran]])</f>
        <v>Tunai</v>
      </c>
    </row>
    <row r="258" spans="1:22" x14ac:dyDescent="0.25">
      <c r="A258" s="7" t="s">
        <v>1251</v>
      </c>
      <c r="B258" s="3" t="s">
        <v>789</v>
      </c>
      <c r="C258" s="3" t="s">
        <v>1255</v>
      </c>
      <c r="D258" s="3" t="s">
        <v>895</v>
      </c>
      <c r="E258" s="3" t="s">
        <v>1256</v>
      </c>
      <c r="F258" s="3">
        <v>7</v>
      </c>
      <c r="G258" s="3">
        <v>45000</v>
      </c>
      <c r="H258" s="3">
        <v>315000</v>
      </c>
      <c r="I258" s="3" t="s">
        <v>965</v>
      </c>
      <c r="J258" s="4" t="s">
        <v>884</v>
      </c>
      <c r="M258" s="10">
        <f>DATEVALUE(SUBSTITUTE(SUBSTITUTE(SUBSTITUTE(SUBSTITUTE(SUBSTITUTE(SUBSTITUTE(SUBSTITUTE(SUBSTITUTE(SUBSTITUTE(SUBSTITUTE(SUBSTITUTE(SUBSTITUTE(Table1[[#This Row],[Tanggal]],"Jan", "Jan"),"Feb","Feb"),"Mar","Mar"),"Apr","Apr"),"Mei","May"),"Jun","Jun"),"Jul","Jul"),"Agu","Aug"),"Sep","Sep"),"Okt","Oct"),"Nov","Nov"),"Des","Dec"))</f>
        <v>376185</v>
      </c>
      <c r="N258" t="str">
        <f>Table1[[#This Row],[ID_Transaksi]]</f>
        <v>TRX-1257</v>
      </c>
      <c r="O258" s="5" t="str">
        <f>PROPER(TRIM(SUBSTITUTE(Table1[[#This Row],[Nama_Toko]],"""","")))</f>
        <v>Toko Barokah</v>
      </c>
      <c r="P258" s="3" t="str">
        <f>PROPER(TRIM(Table1[[#This Row],[Kategori_Produk]]))</f>
        <v>Makanan</v>
      </c>
      <c r="Q258" t="str">
        <f>PROPER(TRIM(Table1[Nama Produk]))</f>
        <v>Bahan Roti Gandum</v>
      </c>
      <c r="R258">
        <f>Table1[[#This Row],[Qty]]</f>
        <v>7</v>
      </c>
      <c r="S258" t="str">
        <f>SUBSTITUTE(SUBSTITUTE(Table1[[#This Row],[Harga_Satuan]],"Rp.",""),".","")</f>
        <v>45000</v>
      </c>
      <c r="T258">
        <f>Table1[[#This Row],[Total_Penjualan]]</f>
        <v>315000</v>
      </c>
      <c r="U258" t="str">
        <f>PROPER(Table1[[#This Row],[Kota]])</f>
        <v>Surabaya</v>
      </c>
      <c r="V258" t="str">
        <f>PROPER(Table1[[#This Row],[Metode_Pembayaran]])</f>
        <v>Kartu Debit</v>
      </c>
    </row>
    <row r="259" spans="1:22" x14ac:dyDescent="0.25">
      <c r="A259" s="8" t="s">
        <v>1534</v>
      </c>
      <c r="B259" s="5" t="s">
        <v>791</v>
      </c>
      <c r="C259" s="5" t="s">
        <v>1233</v>
      </c>
      <c r="D259" s="5" t="s">
        <v>43</v>
      </c>
      <c r="E259" s="5" t="s">
        <v>792</v>
      </c>
      <c r="F259" s="5">
        <v>3</v>
      </c>
      <c r="G259" s="5">
        <v>55000</v>
      </c>
      <c r="H259" s="5">
        <v>165000</v>
      </c>
      <c r="I259" s="5" t="s">
        <v>937</v>
      </c>
      <c r="J259" s="6" t="s">
        <v>880</v>
      </c>
      <c r="M259" s="10">
        <f>DATEVALUE(SUBSTITUTE(SUBSTITUTE(SUBSTITUTE(SUBSTITUTE(SUBSTITUTE(SUBSTITUTE(SUBSTITUTE(SUBSTITUTE(SUBSTITUTE(SUBSTITUTE(SUBSTITUTE(SUBSTITUTE(Table1[[#This Row],[Tanggal]],"Jan", "Jan"),"Feb","Feb"),"Mar","Mar"),"Apr","Apr"),"Mei","May"),"Jun","Jun"),"Jul","Jul"),"Agu","Aug"),"Sep","Sep"),"Okt","Oct"),"Nov","Nov"),"Des","Dec"))</f>
        <v>47477</v>
      </c>
      <c r="N259" t="str">
        <f>Table1[[#This Row],[ID_Transaksi]]</f>
        <v>INV-1258</v>
      </c>
      <c r="O259" s="5" t="str">
        <f>PROPER(TRIM(SUBSTITUTE(Table1[[#This Row],[Nama_Toko]],"""","")))</f>
        <v>Pasar Tani</v>
      </c>
      <c r="P259" s="3" t="str">
        <f>PROPER(TRIM(Table1[[#This Row],[Kategori_Produk]]))</f>
        <v>Pakaian</v>
      </c>
      <c r="Q259" t="str">
        <f>PROPER(TRIM(Table1[Nama Produk]))</f>
        <v>Topi Baret Wol</v>
      </c>
      <c r="R259">
        <f>Table1[[#This Row],[Qty]]</f>
        <v>3</v>
      </c>
      <c r="S259" t="str">
        <f>SUBSTITUTE(SUBSTITUTE(Table1[[#This Row],[Harga_Satuan]],"Rp.",""),".","")</f>
        <v>55000</v>
      </c>
      <c r="T259">
        <f>Table1[[#This Row],[Total_Penjualan]]</f>
        <v>165000</v>
      </c>
      <c r="U259" t="str">
        <f>PROPER(Table1[[#This Row],[Kota]])</f>
        <v>Depok</v>
      </c>
      <c r="V259" t="str">
        <f>PROPER(Table1[[#This Row],[Metode_Pembayaran]])</f>
        <v>Tunai</v>
      </c>
    </row>
    <row r="260" spans="1:22" x14ac:dyDescent="0.25">
      <c r="A260" s="7" t="s">
        <v>1535</v>
      </c>
      <c r="B260" s="3" t="s">
        <v>793</v>
      </c>
      <c r="C260" s="3" t="s">
        <v>954</v>
      </c>
      <c r="D260" s="3" t="s">
        <v>901</v>
      </c>
      <c r="E260" s="3" t="s">
        <v>794</v>
      </c>
      <c r="F260" s="3">
        <v>1</v>
      </c>
      <c r="G260" s="3">
        <v>350000</v>
      </c>
      <c r="H260" s="3">
        <v>350000</v>
      </c>
      <c r="I260" s="3" t="s">
        <v>968</v>
      </c>
      <c r="J260" s="4" t="s">
        <v>29</v>
      </c>
      <c r="M260" s="10">
        <f>DATEVALUE(SUBSTITUTE(SUBSTITUTE(SUBSTITUTE(SUBSTITUTE(SUBSTITUTE(SUBSTITUTE(SUBSTITUTE(SUBSTITUTE(SUBSTITUTE(SUBSTITUTE(SUBSTITUTE(SUBSTITUTE(Table1[[#This Row],[Tanggal]],"Jan", "Jan"),"Feb","Feb"),"Mar","Mar"),"Apr","Apr"),"Mei","May"),"Jun","Jun"),"Jul","Jul"),"Agu","Aug"),"Sep","Sep"),"Okt","Oct"),"Nov","Nov"),"Des","Dec"))</f>
        <v>10963</v>
      </c>
      <c r="N260" t="str">
        <f>Table1[[#This Row],[ID_Transaksi]]</f>
        <v>TRX-1259</v>
      </c>
      <c r="O260" s="5" t="str">
        <f>PROPER(TRIM(SUBSTITUTE(Table1[[#This Row],[Nama_Toko]],"""","")))</f>
        <v>Minimarket Sinar</v>
      </c>
      <c r="P260" s="3" t="str">
        <f>PROPER(TRIM(Table1[[#This Row],[Kategori_Produk]]))</f>
        <v>Mainan</v>
      </c>
      <c r="Q260" t="str">
        <f>PROPER(TRIM(Table1[Nama Produk]))</f>
        <v>Sepeda Mini Roda Dua</v>
      </c>
      <c r="R260">
        <f>Table1[[#This Row],[Qty]]</f>
        <v>1</v>
      </c>
      <c r="S260" t="str">
        <f>SUBSTITUTE(SUBSTITUTE(Table1[[#This Row],[Harga_Satuan]],"Rp.",""),".","")</f>
        <v>350000</v>
      </c>
      <c r="T260">
        <f>Table1[[#This Row],[Total_Penjualan]]</f>
        <v>350000</v>
      </c>
      <c r="U260" t="str">
        <f>PROPER(Table1[[#This Row],[Kota]])</f>
        <v>Jakarta Selatan</v>
      </c>
      <c r="V260" t="str">
        <f>PROPER(Table1[[#This Row],[Metode_Pembayaran]])</f>
        <v>Kartu Kredit</v>
      </c>
    </row>
    <row r="261" spans="1:22" x14ac:dyDescent="0.25">
      <c r="A261" s="8" t="s">
        <v>1536</v>
      </c>
      <c r="B261" s="5" t="s">
        <v>795</v>
      </c>
      <c r="C261" s="5" t="s">
        <v>1257</v>
      </c>
      <c r="D261" s="5" t="s">
        <v>12</v>
      </c>
      <c r="E261" s="5" t="s">
        <v>796</v>
      </c>
      <c r="F261" s="5">
        <v>8</v>
      </c>
      <c r="G261" s="5">
        <v>12000</v>
      </c>
      <c r="H261" s="5">
        <v>96000</v>
      </c>
      <c r="I261" s="5" t="s">
        <v>915</v>
      </c>
      <c r="J261" s="6" t="s">
        <v>893</v>
      </c>
      <c r="M261" s="10">
        <f>DATEVALUE(SUBSTITUTE(SUBSTITUTE(SUBSTITUTE(SUBSTITUTE(SUBSTITUTE(SUBSTITUTE(SUBSTITUTE(SUBSTITUTE(SUBSTITUTE(SUBSTITUTE(SUBSTITUTE(SUBSTITUTE(Table1[[#This Row],[Tanggal]],"Jan", "Jan"),"Feb","Feb"),"Mar","Mar"),"Apr","Apr"),"Mei","May"),"Jun","Jun"),"Jul","Jul"),"Agu","Aug"),"Sep","Sep"),"Okt","Oct"),"Nov","Nov"),"Des","Dec"))</f>
        <v>47498</v>
      </c>
      <c r="N261" t="str">
        <f>Table1[[#This Row],[ID_Transaksi]]</f>
        <v>INV-1260</v>
      </c>
      <c r="O261" s="5" t="str">
        <f>PROPER(TRIM(SUBSTITUTE(Table1[[#This Row],[Nama_Toko]],"""","")))</f>
        <v>Toko Istimewa</v>
      </c>
      <c r="P261" s="3" t="str">
        <f>PROPER(TRIM(Table1[[#This Row],[Kategori_Produk]]))</f>
        <v>Makanan</v>
      </c>
      <c r="Q261" t="str">
        <f>PROPER(TRIM(Table1[Nama Produk]))</f>
        <v>Makaroni Instan Keju</v>
      </c>
      <c r="R261">
        <f>Table1[[#This Row],[Qty]]</f>
        <v>8</v>
      </c>
      <c r="S261" t="str">
        <f>SUBSTITUTE(SUBSTITUTE(Table1[[#This Row],[Harga_Satuan]],"Rp.",""),".","")</f>
        <v>12000</v>
      </c>
      <c r="T261">
        <f>Table1[[#This Row],[Total_Penjualan]]</f>
        <v>96000</v>
      </c>
      <c r="U261" t="str">
        <f>PROPER(Table1[[#This Row],[Kota]])</f>
        <v>Medan</v>
      </c>
      <c r="V261" t="str">
        <f>PROPER(Table1[[#This Row],[Metode_Pembayaran]])</f>
        <v>Tunai</v>
      </c>
    </row>
    <row r="262" spans="1:22" x14ac:dyDescent="0.25">
      <c r="A262" s="7" t="s">
        <v>1537</v>
      </c>
      <c r="B262" s="3" t="s">
        <v>797</v>
      </c>
      <c r="C262" s="3" t="s">
        <v>1258</v>
      </c>
      <c r="D262" s="3" t="s">
        <v>19</v>
      </c>
      <c r="E262" s="3" t="s">
        <v>798</v>
      </c>
      <c r="F262" s="3">
        <v>10</v>
      </c>
      <c r="G262" s="3">
        <v>18000</v>
      </c>
      <c r="H262" s="3">
        <v>180000</v>
      </c>
      <c r="I262" s="3" t="s">
        <v>913</v>
      </c>
      <c r="J262" s="4" t="s">
        <v>884</v>
      </c>
      <c r="M262" s="10">
        <f>DATEVALUE(SUBSTITUTE(SUBSTITUTE(SUBSTITUTE(SUBSTITUTE(SUBSTITUTE(SUBSTITUTE(SUBSTITUTE(SUBSTITUTE(SUBSTITUTE(SUBSTITUTE(SUBSTITUTE(SUBSTITUTE(Table1[[#This Row],[Tanggal]],"Jan", "Jan"),"Feb","Feb"),"Mar","Mar"),"Apr","Apr"),"Mei","May"),"Jun","Jun"),"Jul","Jul"),"Agu","Aug"),"Sep","Sep"),"Okt","Oct"),"Nov","Nov"),"Des","Dec"))</f>
        <v>10983</v>
      </c>
      <c r="N262" t="str">
        <f>Table1[[#This Row],[ID_Transaksi]]</f>
        <v>TRX-1261</v>
      </c>
      <c r="O262" s="5" t="str">
        <f>PROPER(TRIM(SUBSTITUTE(Table1[[#This Row],[Nama_Toko]],"""","")))</f>
        <v>Grosir Emas</v>
      </c>
      <c r="P262" s="3" t="str">
        <f>PROPER(TRIM(Table1[[#This Row],[Kategori_Produk]]))</f>
        <v>Minuman</v>
      </c>
      <c r="Q262" t="str">
        <f>PROPER(TRIM(Table1[Nama Produk]))</f>
        <v>Kopi Dingin Kaleng Premium</v>
      </c>
      <c r="R262">
        <f>Table1[[#This Row],[Qty]]</f>
        <v>10</v>
      </c>
      <c r="S262" t="str">
        <f>SUBSTITUTE(SUBSTITUTE(Table1[[#This Row],[Harga_Satuan]],"Rp.",""),".","")</f>
        <v>18000</v>
      </c>
      <c r="T262">
        <f>Table1[[#This Row],[Total_Penjualan]]</f>
        <v>180000</v>
      </c>
      <c r="U262" t="str">
        <f>PROPER(Table1[[#This Row],[Kota]])</f>
        <v>Yogyakarta</v>
      </c>
      <c r="V262" t="str">
        <f>PROPER(Table1[[#This Row],[Metode_Pembayaran]])</f>
        <v>Kartu Debit</v>
      </c>
    </row>
    <row r="263" spans="1:22" x14ac:dyDescent="0.25">
      <c r="A263" s="8" t="s">
        <v>1538</v>
      </c>
      <c r="B263" s="5" t="s">
        <v>799</v>
      </c>
      <c r="C263" s="5" t="s">
        <v>1259</v>
      </c>
      <c r="D263" s="5" t="s">
        <v>886</v>
      </c>
      <c r="E263" s="5" t="s">
        <v>1260</v>
      </c>
      <c r="F263" s="5">
        <v>5</v>
      </c>
      <c r="G263" s="5">
        <v>25000</v>
      </c>
      <c r="H263" s="5">
        <v>125000</v>
      </c>
      <c r="I263" s="5" t="s">
        <v>960</v>
      </c>
      <c r="J263" s="6" t="s">
        <v>888</v>
      </c>
      <c r="M263" s="10">
        <f>DATEVALUE(SUBSTITUTE(SUBSTITUTE(SUBSTITUTE(SUBSTITUTE(SUBSTITUTE(SUBSTITUTE(SUBSTITUTE(SUBSTITUTE(SUBSTITUTE(SUBSTITUTE(SUBSTITUTE(SUBSTITUTE(Table1[[#This Row],[Tanggal]],"Jan", "Jan"),"Feb","Feb"),"Mar","Mar"),"Apr","Apr"),"Mei","May"),"Jun","Jun"),"Jul","Jul"),"Agu","Aug"),"Sep","Sep"),"Okt","Oct"),"Nov","Nov"),"Des","Dec"))</f>
        <v>10990</v>
      </c>
      <c r="N263" t="str">
        <f>Table1[[#This Row],[ID_Transaksi]]</f>
        <v>INV-1262</v>
      </c>
      <c r="O263" s="5" t="str">
        <f>PROPER(TRIM(SUBSTITUTE(Table1[[#This Row],[Nama_Toko]],"""","")))</f>
        <v>Warung Damai</v>
      </c>
      <c r="P263" s="3" t="str">
        <f>PROPER(TRIM(Table1[[#This Row],[Kategori_Produk]]))</f>
        <v>Elektronik</v>
      </c>
      <c r="Q263" t="str">
        <f>PROPER(TRIM(Table1[Nama Produk]))</f>
        <v>Kabel Lan Utp 10M</v>
      </c>
      <c r="R263">
        <f>Table1[[#This Row],[Qty]]</f>
        <v>5</v>
      </c>
      <c r="S263" t="str">
        <f>SUBSTITUTE(SUBSTITUTE(Table1[[#This Row],[Harga_Satuan]],"Rp.",""),".","")</f>
        <v>25000</v>
      </c>
      <c r="T263">
        <f>Table1[[#This Row],[Total_Penjualan]]</f>
        <v>125000</v>
      </c>
      <c r="U263" t="str">
        <f>PROPER(Table1[[#This Row],[Kota]])</f>
        <v>Malang</v>
      </c>
      <c r="V263" t="str">
        <f>PROPER(Table1[[#This Row],[Metode_Pembayaran]])</f>
        <v>Kartu Kredit</v>
      </c>
    </row>
    <row r="264" spans="1:22" x14ac:dyDescent="0.25">
      <c r="A264" s="7" t="s">
        <v>1539</v>
      </c>
      <c r="B264" s="3" t="s">
        <v>801</v>
      </c>
      <c r="C264" s="3" t="s">
        <v>1261</v>
      </c>
      <c r="D264" s="3" t="s">
        <v>890</v>
      </c>
      <c r="E264" s="3" t="s">
        <v>802</v>
      </c>
      <c r="F264" s="3">
        <v>15</v>
      </c>
      <c r="G264" s="3">
        <v>10000</v>
      </c>
      <c r="H264" s="3">
        <v>150000</v>
      </c>
      <c r="I264" s="3" t="s">
        <v>21</v>
      </c>
      <c r="J264" s="4" t="s">
        <v>893</v>
      </c>
      <c r="M264" s="10">
        <f>DATEVALUE(SUBSTITUTE(SUBSTITUTE(SUBSTITUTE(SUBSTITUTE(SUBSTITUTE(SUBSTITUTE(SUBSTITUTE(SUBSTITUTE(SUBSTITUTE(SUBSTITUTE(SUBSTITUTE(SUBSTITUTE(Table1[[#This Row],[Tanggal]],"Jan", "Jan"),"Feb","Feb"),"Mar","Mar"),"Apr","Apr"),"Mei","May"),"Jun","Jun"),"Jul","Jul"),"Agu","Aug"),"Sep","Sep"),"Okt","Oct"),"Nov","Nov"),"Des","Dec"))</f>
        <v>47524</v>
      </c>
      <c r="N264" t="str">
        <f>Table1[[#This Row],[ID_Transaksi]]</f>
        <v>TRX-1263</v>
      </c>
      <c r="O264" s="5" t="str">
        <f>PROPER(TRIM(SUBSTITUTE(Table1[[#This Row],[Nama_Toko]],"""","")))</f>
        <v>Gudang Besar Sekali</v>
      </c>
      <c r="P264" s="3" t="str">
        <f>PROPER(TRIM(Table1[[#This Row],[Kategori_Produk]]))</f>
        <v>Kecantikan</v>
      </c>
      <c r="Q264" t="str">
        <f>PROPER(TRIM(Table1[Nama Produk]))</f>
        <v>Sabun Cair Antiseptik</v>
      </c>
      <c r="R264">
        <f>Table1[[#This Row],[Qty]]</f>
        <v>15</v>
      </c>
      <c r="S264" t="str">
        <f>SUBSTITUTE(SUBSTITUTE(Table1[[#This Row],[Harga_Satuan]],"Rp.",""),".","")</f>
        <v>10000</v>
      </c>
      <c r="T264">
        <f>Table1[[#This Row],[Total_Penjualan]]</f>
        <v>150000</v>
      </c>
      <c r="U264" t="str">
        <f>PROPER(Table1[[#This Row],[Kota]])</f>
        <v>Bandung</v>
      </c>
      <c r="V264" t="str">
        <f>PROPER(Table1[[#This Row],[Metode_Pembayaran]])</f>
        <v>Tunai</v>
      </c>
    </row>
    <row r="265" spans="1:22" x14ac:dyDescent="0.25">
      <c r="A265" s="8" t="s">
        <v>1540</v>
      </c>
      <c r="B265" s="5" t="s">
        <v>803</v>
      </c>
      <c r="C265" s="5" t="s">
        <v>1262</v>
      </c>
      <c r="D265" s="5" t="s">
        <v>895</v>
      </c>
      <c r="E265" s="5" t="s">
        <v>1263</v>
      </c>
      <c r="F265" s="5">
        <v>20</v>
      </c>
      <c r="G265" s="5">
        <v>5000</v>
      </c>
      <c r="H265" s="5">
        <v>100000</v>
      </c>
      <c r="I265" s="5" t="s">
        <v>932</v>
      </c>
      <c r="J265" s="6" t="s">
        <v>884</v>
      </c>
      <c r="M265" s="10">
        <f>DATEVALUE(SUBSTITUTE(SUBSTITUTE(SUBSTITUTE(SUBSTITUTE(SUBSTITUTE(SUBSTITUTE(SUBSTITUTE(SUBSTITUTE(SUBSTITUTE(SUBSTITUTE(SUBSTITUTE(SUBSTITUTE(Table1[[#This Row],[Tanggal]],"Jan", "Jan"),"Feb","Feb"),"Mar","Mar"),"Apr","Apr"),"Mei","May"),"Jun","Jun"),"Jul","Jul"),"Agu","Aug"),"Sep","Sep"),"Okt","Oct"),"Nov","Nov"),"Des","Dec"))</f>
        <v>11009</v>
      </c>
      <c r="N265" t="str">
        <f>Table1[[#This Row],[ID_Transaksi]]</f>
        <v>INV-1264</v>
      </c>
      <c r="O265" s="5" t="str">
        <f>PROPER(TRIM(SUBSTITUTE(Table1[[#This Row],[Nama_Toko]],"""","")))</f>
        <v>Toko Maju Terus</v>
      </c>
      <c r="P265" s="3" t="str">
        <f>PROPER(TRIM(Table1[[#This Row],[Kategori_Produk]]))</f>
        <v>Makanan</v>
      </c>
      <c r="Q265" t="str">
        <f>PROPER(TRIM(Table1[Nama Produk]))</f>
        <v>Sayur Bayam Segar</v>
      </c>
      <c r="R265">
        <f>Table1[[#This Row],[Qty]]</f>
        <v>20</v>
      </c>
      <c r="S265" t="str">
        <f>SUBSTITUTE(SUBSTITUTE(Table1[[#This Row],[Harga_Satuan]],"Rp.",""),".","")</f>
        <v>5000</v>
      </c>
      <c r="T265">
        <f>Table1[[#This Row],[Total_Penjualan]]</f>
        <v>100000</v>
      </c>
      <c r="U265" t="str">
        <f>PROPER(Table1[[#This Row],[Kota]])</f>
        <v>Semarang</v>
      </c>
      <c r="V265" t="str">
        <f>PROPER(Table1[[#This Row],[Metode_Pembayaran]])</f>
        <v>Kartu Debit</v>
      </c>
    </row>
    <row r="266" spans="1:22" x14ac:dyDescent="0.25">
      <c r="A266" s="7" t="s">
        <v>1541</v>
      </c>
      <c r="B266" s="3" t="s">
        <v>805</v>
      </c>
      <c r="C266" s="3" t="s">
        <v>1264</v>
      </c>
      <c r="D266" s="3" t="s">
        <v>43</v>
      </c>
      <c r="E266" s="3" t="s">
        <v>1265</v>
      </c>
      <c r="F266" s="3">
        <v>4</v>
      </c>
      <c r="G266" s="3">
        <v>160000</v>
      </c>
      <c r="H266" s="3">
        <v>640000</v>
      </c>
      <c r="I266" s="3" t="s">
        <v>28</v>
      </c>
      <c r="J266" s="4" t="s">
        <v>880</v>
      </c>
      <c r="M266" s="10">
        <f>DATEVALUE(SUBSTITUTE(SUBSTITUTE(SUBSTITUTE(SUBSTITUTE(SUBSTITUTE(SUBSTITUTE(SUBSTITUTE(SUBSTITUTE(SUBSTITUTE(SUBSTITUTE(SUBSTITUTE(SUBSTITUTE(Table1[[#This Row],[Tanggal]],"Jan", "Jan"),"Feb","Feb"),"Mar","Mar"),"Apr","Apr"),"Mei","May"),"Jun","Jun"),"Jul","Jul"),"Agu","Aug"),"Sep","Sep"),"Okt","Oct"),"Nov","Nov"),"Des","Dec"))</f>
        <v>11018</v>
      </c>
      <c r="N266" t="str">
        <f>Table1[[#This Row],[ID_Transaksi]]</f>
        <v>TRX-1265</v>
      </c>
      <c r="O266" s="5" t="str">
        <f>PROPER(TRIM(SUBSTITUTE(Table1[[#This Row],[Nama_Toko]],"""","")))</f>
        <v>Pasar Rame Banget</v>
      </c>
      <c r="P266" s="3" t="str">
        <f>PROPER(TRIM(Table1[[#This Row],[Kategori_Produk]]))</f>
        <v>Pakaian</v>
      </c>
      <c r="Q266" t="str">
        <f>PROPER(TRIM(Table1[Nama Produk]))</f>
        <v>Jilbab Instan Syar'I</v>
      </c>
      <c r="R266">
        <f>Table1[[#This Row],[Qty]]</f>
        <v>4</v>
      </c>
      <c r="S266" t="str">
        <f>SUBSTITUTE(SUBSTITUTE(Table1[[#This Row],[Harga_Satuan]],"Rp.",""),".","")</f>
        <v>160000</v>
      </c>
      <c r="T266">
        <f>Table1[[#This Row],[Total_Penjualan]]</f>
        <v>640000</v>
      </c>
      <c r="U266" t="str">
        <f>PROPER(Table1[[#This Row],[Kota]])</f>
        <v>Surabaya</v>
      </c>
      <c r="V266" t="str">
        <f>PROPER(Table1[[#This Row],[Metode_Pembayaran]])</f>
        <v>Tunai</v>
      </c>
    </row>
    <row r="267" spans="1:22" x14ac:dyDescent="0.25">
      <c r="A267" s="8" t="s">
        <v>1542</v>
      </c>
      <c r="B267" s="5" t="s">
        <v>807</v>
      </c>
      <c r="C267" s="5" t="s">
        <v>1143</v>
      </c>
      <c r="D267" s="5" t="s">
        <v>901</v>
      </c>
      <c r="E267" s="5" t="s">
        <v>808</v>
      </c>
      <c r="F267" s="5">
        <v>8</v>
      </c>
      <c r="G267" s="5">
        <v>30000</v>
      </c>
      <c r="H267" s="5">
        <v>240000</v>
      </c>
      <c r="I267" s="5" t="s">
        <v>923</v>
      </c>
      <c r="J267" s="6" t="s">
        <v>29</v>
      </c>
      <c r="M267" s="10">
        <f>DATEVALUE(SUBSTITUTE(SUBSTITUTE(SUBSTITUTE(SUBSTITUTE(SUBSTITUTE(SUBSTITUTE(SUBSTITUTE(SUBSTITUTE(SUBSTITUTE(SUBSTITUTE(SUBSTITUTE(SUBSTITUTE(Table1[[#This Row],[Tanggal]],"Jan", "Jan"),"Feb","Feb"),"Mar","Mar"),"Apr","Apr"),"Mei","May"),"Jun","Jun"),"Jul","Jul"),"Agu","Aug"),"Sep","Sep"),"Okt","Oct"),"Nov","Nov"),"Des","Dec"))</f>
        <v>47557</v>
      </c>
      <c r="N267" t="str">
        <f>Table1[[#This Row],[ID_Transaksi]]</f>
        <v>INV-1266</v>
      </c>
      <c r="O267" s="5" t="str">
        <f>PROPER(TRIM(SUBSTITUTE(Table1[[#This Row],[Nama_Toko]],"""","")))</f>
        <v>Minimarket Pahlawan</v>
      </c>
      <c r="P267" s="3" t="str">
        <f>PROPER(TRIM(Table1[[#This Row],[Kategori_Produk]]))</f>
        <v>Mainan</v>
      </c>
      <c r="Q267" t="str">
        <f>PROPER(TRIM(Table1[Nama Produk]))</f>
        <v>Mainan Boneka Kain</v>
      </c>
      <c r="R267">
        <f>Table1[[#This Row],[Qty]]</f>
        <v>8</v>
      </c>
      <c r="S267" t="str">
        <f>SUBSTITUTE(SUBSTITUTE(Table1[[#This Row],[Harga_Satuan]],"Rp.",""),".","")</f>
        <v>30000</v>
      </c>
      <c r="T267">
        <f>Table1[[#This Row],[Total_Penjualan]]</f>
        <v>240000</v>
      </c>
      <c r="U267" t="str">
        <f>PROPER(Table1[[#This Row],[Kota]])</f>
        <v>Denpasar</v>
      </c>
      <c r="V267" t="str">
        <f>PROPER(Table1[[#This Row],[Metode_Pembayaran]])</f>
        <v>Kartu Kredit</v>
      </c>
    </row>
    <row r="268" spans="1:22" x14ac:dyDescent="0.25">
      <c r="A268" s="7" t="s">
        <v>1543</v>
      </c>
      <c r="B268" s="3" t="s">
        <v>809</v>
      </c>
      <c r="C268" s="3" t="s">
        <v>1266</v>
      </c>
      <c r="D268" s="3" t="s">
        <v>12</v>
      </c>
      <c r="E268" s="3" t="s">
        <v>810</v>
      </c>
      <c r="F268" s="3">
        <v>3</v>
      </c>
      <c r="G268" s="3">
        <v>4500</v>
      </c>
      <c r="H268" s="3">
        <v>13500</v>
      </c>
      <c r="I268" s="3" t="s">
        <v>1004</v>
      </c>
      <c r="J268" s="4" t="s">
        <v>893</v>
      </c>
      <c r="M268" s="10">
        <f>DATEVALUE(SUBSTITUTE(SUBSTITUTE(SUBSTITUTE(SUBSTITUTE(SUBSTITUTE(SUBSTITUTE(SUBSTITUTE(SUBSTITUTE(SUBSTITUTE(SUBSTITUTE(SUBSTITUTE(SUBSTITUTE(Table1[[#This Row],[Tanggal]],"Jan", "Jan"),"Feb","Feb"),"Mar","Mar"),"Apr","Apr"),"Mei","May"),"Jun","Jun"),"Jul","Jul"),"Agu","Aug"),"Sep","Sep"),"Okt","Oct"),"Nov","Nov"),"Des","Dec"))</f>
        <v>11042</v>
      </c>
      <c r="N268" t="str">
        <f>Table1[[#This Row],[ID_Transaksi]]</f>
        <v>TRX-1267</v>
      </c>
      <c r="O268" s="5" t="str">
        <f>PROPER(TRIM(SUBSTITUTE(Table1[[#This Row],[Nama_Toko]],"""","")))</f>
        <v>Toko Hebat</v>
      </c>
      <c r="P268" s="3" t="str">
        <f>PROPER(TRIM(Table1[[#This Row],[Kategori_Produk]]))</f>
        <v>Makanan</v>
      </c>
      <c r="Q268" t="str">
        <f>PROPER(TRIM(Table1[Nama Produk]))</f>
        <v>Mie Goreng Jumbo Instan</v>
      </c>
      <c r="R268">
        <f>Table1[[#This Row],[Qty]]</f>
        <v>3</v>
      </c>
      <c r="S268" t="str">
        <f>SUBSTITUTE(SUBSTITUTE(Table1[[#This Row],[Harga_Satuan]],"Rp.",""),".","")</f>
        <v>4500</v>
      </c>
      <c r="T268">
        <f>Table1[[#This Row],[Total_Penjualan]]</f>
        <v>13500</v>
      </c>
      <c r="U268" t="str">
        <f>PROPER(Table1[[#This Row],[Kota]])</f>
        <v>Jakarta</v>
      </c>
      <c r="V268" t="str">
        <f>PROPER(Table1[[#This Row],[Metode_Pembayaran]])</f>
        <v>Tunai</v>
      </c>
    </row>
    <row r="269" spans="1:22" x14ac:dyDescent="0.25">
      <c r="A269" s="8" t="s">
        <v>1544</v>
      </c>
      <c r="B269" s="5" t="s">
        <v>811</v>
      </c>
      <c r="C269" s="5" t="s">
        <v>1268</v>
      </c>
      <c r="D269" s="5" t="s">
        <v>19</v>
      </c>
      <c r="E269" s="5" t="s">
        <v>812</v>
      </c>
      <c r="F269" s="5">
        <v>12</v>
      </c>
      <c r="G269" s="5">
        <v>7000</v>
      </c>
      <c r="H269" s="5">
        <v>84000</v>
      </c>
      <c r="I269" s="5" t="s">
        <v>915</v>
      </c>
      <c r="J269" s="6" t="s">
        <v>884</v>
      </c>
      <c r="M269" s="10">
        <f>DATEVALUE(SUBSTITUTE(SUBSTITUTE(SUBSTITUTE(SUBSTITUTE(SUBSTITUTE(SUBSTITUTE(SUBSTITUTE(SUBSTITUTE(SUBSTITUTE(SUBSTITUTE(SUBSTITUTE(SUBSTITUTE(Table1[[#This Row],[Tanggal]],"Jan", "Jan"),"Feb","Feb"),"Mar","Mar"),"Apr","Apr"),"Mei","May"),"Jun","Jun"),"Jul","Jul"),"Agu","Aug"),"Sep","Sep"),"Okt","Oct"),"Nov","Nov"),"Des","Dec"))</f>
        <v>11053</v>
      </c>
      <c r="N269" t="str">
        <f>Table1[[#This Row],[ID_Transaksi]]</f>
        <v>INV-1268</v>
      </c>
      <c r="O269" s="5" t="str">
        <f>PROPER(TRIM(SUBSTITUTE(Table1[[#This Row],[Nama_Toko]],"""","")))</f>
        <v>Grosir Terpercaya</v>
      </c>
      <c r="P269" s="3" t="str">
        <f>PROPER(TRIM(Table1[[#This Row],[Kategori_Produk]]))</f>
        <v>Minuman</v>
      </c>
      <c r="Q269" t="str">
        <f>PROPER(TRIM(Table1[Nama Produk]))</f>
        <v>Air Mineral Rasa Apel</v>
      </c>
      <c r="R269">
        <f>Table1[[#This Row],[Qty]]</f>
        <v>12</v>
      </c>
      <c r="S269" t="str">
        <f>SUBSTITUTE(SUBSTITUTE(Table1[[#This Row],[Harga_Satuan]],"Rp.",""),".","")</f>
        <v>7000</v>
      </c>
      <c r="T269">
        <f>Table1[[#This Row],[Total_Penjualan]]</f>
        <v>84000</v>
      </c>
      <c r="U269" t="str">
        <f>PROPER(Table1[[#This Row],[Kota]])</f>
        <v>Medan</v>
      </c>
      <c r="V269" t="str">
        <f>PROPER(Table1[[#This Row],[Metode_Pembayaran]])</f>
        <v>Kartu Debit</v>
      </c>
    </row>
    <row r="270" spans="1:22" x14ac:dyDescent="0.25">
      <c r="A270" s="7" t="s">
        <v>1545</v>
      </c>
      <c r="B270" s="3" t="s">
        <v>814</v>
      </c>
      <c r="C270" s="3" t="s">
        <v>1269</v>
      </c>
      <c r="D270" s="3" t="s">
        <v>886</v>
      </c>
      <c r="E270" s="3" t="s">
        <v>1270</v>
      </c>
      <c r="F270" s="3">
        <v>1</v>
      </c>
      <c r="G270" s="3">
        <v>130000</v>
      </c>
      <c r="H270" s="3">
        <v>130000</v>
      </c>
      <c r="I270" s="3" t="s">
        <v>958</v>
      </c>
      <c r="J270" s="4" t="s">
        <v>888</v>
      </c>
      <c r="M270" s="10">
        <f>DATEVALUE(SUBSTITUTE(SUBSTITUTE(SUBSTITUTE(SUBSTITUTE(SUBSTITUTE(SUBSTITUTE(SUBSTITUTE(SUBSTITUTE(SUBSTITUTE(SUBSTITUTE(SUBSTITUTE(SUBSTITUTE(Table1[[#This Row],[Tanggal]],"Jan", "Jan"),"Feb","Feb"),"Mar","Mar"),"Apr","Apr"),"Mei","May"),"Jun","Jun"),"Jul","Jul"),"Agu","Aug"),"Sep","Sep"),"Okt","Oct"),"Nov","Nov"),"Des","Dec"))</f>
        <v>47588</v>
      </c>
      <c r="N270" t="str">
        <f>Table1[[#This Row],[ID_Transaksi]]</f>
        <v>TRX-1269</v>
      </c>
      <c r="O270" s="5" t="str">
        <f>PROPER(TRIM(SUBSTITUTE(Table1[[#This Row],[Nama_Toko]],"""","")))</f>
        <v>Warung Sejuk</v>
      </c>
      <c r="P270" s="3" t="str">
        <f>PROPER(TRIM(Table1[[#This Row],[Kategori_Produk]]))</f>
        <v>Elektronik</v>
      </c>
      <c r="Q270" t="str">
        <f>PROPER(TRIM(Table1[Nama Produk]))</f>
        <v>Antena Tv Digital Outdoor</v>
      </c>
      <c r="R270">
        <f>Table1[[#This Row],[Qty]]</f>
        <v>1</v>
      </c>
      <c r="S270" t="str">
        <f>SUBSTITUTE(SUBSTITUTE(Table1[[#This Row],[Harga_Satuan]],"Rp.",""),".","")</f>
        <v>130000</v>
      </c>
      <c r="T270">
        <f>Table1[[#This Row],[Total_Penjualan]]</f>
        <v>130000</v>
      </c>
      <c r="U270" t="str">
        <f>PROPER(Table1[[#This Row],[Kota]])</f>
        <v>Yogyakarta</v>
      </c>
      <c r="V270" t="str">
        <f>PROPER(Table1[[#This Row],[Metode_Pembayaran]])</f>
        <v>Kartu Kredit</v>
      </c>
    </row>
    <row r="271" spans="1:22" x14ac:dyDescent="0.25">
      <c r="A271" s="8" t="s">
        <v>1546</v>
      </c>
      <c r="B271" s="3" t="s">
        <v>816</v>
      </c>
      <c r="C271" s="5" t="s">
        <v>1271</v>
      </c>
      <c r="D271" s="5" t="s">
        <v>890</v>
      </c>
      <c r="E271" s="5" t="s">
        <v>817</v>
      </c>
      <c r="F271" s="5">
        <v>2</v>
      </c>
      <c r="G271" s="5">
        <v>75000</v>
      </c>
      <c r="H271" s="5">
        <v>150000</v>
      </c>
      <c r="I271" s="5" t="s">
        <v>960</v>
      </c>
      <c r="J271" s="6" t="s">
        <v>893</v>
      </c>
      <c r="M271" s="10">
        <f>DATEVALUE(SUBSTITUTE(SUBSTITUTE(SUBSTITUTE(SUBSTITUTE(SUBSTITUTE(SUBSTITUTE(SUBSTITUTE(SUBSTITUTE(SUBSTITUTE(SUBSTITUTE(SUBSTITUTE(SUBSTITUTE(Table1[[#This Row],[Tanggal]],"Jan", "Jan"),"Feb","Feb"),"Mar","Mar"),"Apr","Apr"),"Mei","May"),"Jun","Jun"),"Jul","Jul"),"Agu","Aug"),"Sep","Sep"),"Okt","Oct"),"Nov","Nov"),"Des","Dec"))</f>
        <v>11073</v>
      </c>
      <c r="N271" t="str">
        <f>Table1[[#This Row],[ID_Transaksi]]</f>
        <v>TRX-1270</v>
      </c>
      <c r="O271" s="5" t="str">
        <f>PROPER(TRIM(SUBSTITUTE(Table1[[#This Row],[Nama_Toko]],"""","")))</f>
        <v>Gudang Canggih</v>
      </c>
      <c r="P271" s="3" t="str">
        <f>PROPER(TRIM(Table1[[#This Row],[Kategori_Produk]]))</f>
        <v>Kecantikan</v>
      </c>
      <c r="Q271" t="str">
        <f>PROPER(TRIM(Table1[Nama Produk]))</f>
        <v>Pewarna Rambut Permanen</v>
      </c>
      <c r="R271">
        <f>Table1[[#This Row],[Qty]]</f>
        <v>2</v>
      </c>
      <c r="S271" t="str">
        <f>SUBSTITUTE(SUBSTITUTE(Table1[[#This Row],[Harga_Satuan]],"Rp.",""),".","")</f>
        <v>75000</v>
      </c>
      <c r="T271">
        <f>Table1[[#This Row],[Total_Penjualan]]</f>
        <v>150000</v>
      </c>
      <c r="U271" t="str">
        <f>PROPER(Table1[[#This Row],[Kota]])</f>
        <v>Malang</v>
      </c>
      <c r="V271" t="str">
        <f>PROPER(Table1[[#This Row],[Metode_Pembayaran]])</f>
        <v>Tunai</v>
      </c>
    </row>
    <row r="272" spans="1:22" x14ac:dyDescent="0.25">
      <c r="A272" s="7" t="s">
        <v>1547</v>
      </c>
      <c r="B272" s="3" t="s">
        <v>818</v>
      </c>
      <c r="C272" s="3" t="s">
        <v>1272</v>
      </c>
      <c r="D272" s="3" t="s">
        <v>895</v>
      </c>
      <c r="E272" s="3" t="s">
        <v>1273</v>
      </c>
      <c r="F272" s="3">
        <v>5</v>
      </c>
      <c r="G272" s="3">
        <v>20000</v>
      </c>
      <c r="H272" s="3">
        <v>100000</v>
      </c>
      <c r="I272" s="3" t="s">
        <v>883</v>
      </c>
      <c r="J272" s="4" t="s">
        <v>884</v>
      </c>
      <c r="M272" s="10">
        <f>DATEVALUE(SUBSTITUTE(SUBSTITUTE(SUBSTITUTE(SUBSTITUTE(SUBSTITUTE(SUBSTITUTE(SUBSTITUTE(SUBSTITUTE(SUBSTITUTE(SUBSTITUTE(SUBSTITUTE(SUBSTITUTE(Table1[[#This Row],[Tanggal]],"Jan", "Jan"),"Feb","Feb"),"Mar","Mar"),"Apr","Apr"),"Mei","May"),"Jun","Jun"),"Jul","Jul"),"Agu","Aug"),"Sep","Sep"),"Okt","Oct"),"Nov","Nov"),"Des","Dec"))</f>
        <v>11079</v>
      </c>
      <c r="N272" t="str">
        <f>Table1[[#This Row],[ID_Transaksi]]</f>
        <v>INV-1271</v>
      </c>
      <c r="O272" s="5" t="str">
        <f>PROPER(TRIM(SUBSTITUTE(Table1[[#This Row],[Nama_Toko]],"""","")))</f>
        <v>Toko Terbaik</v>
      </c>
      <c r="P272" s="3" t="str">
        <f>PROPER(TRIM(Table1[[#This Row],[Kategori_Produk]]))</f>
        <v>Makanan</v>
      </c>
      <c r="Q272" t="str">
        <f>PROPER(TRIM(Table1[Nama Produk]))</f>
        <v>Kerupuk Kulit Sapi</v>
      </c>
      <c r="R272">
        <f>Table1[[#This Row],[Qty]]</f>
        <v>5</v>
      </c>
      <c r="S272" t="str">
        <f>SUBSTITUTE(SUBSTITUTE(Table1[[#This Row],[Harga_Satuan]],"Rp.",""),".","")</f>
        <v>20000</v>
      </c>
      <c r="T272">
        <f>Table1[[#This Row],[Total_Penjualan]]</f>
        <v>100000</v>
      </c>
      <c r="U272" t="str">
        <f>PROPER(Table1[[#This Row],[Kota]])</f>
        <v>Bandung</v>
      </c>
      <c r="V272" t="str">
        <f>PROPER(Table1[[#This Row],[Metode_Pembayaran]])</f>
        <v>Kartu Debit</v>
      </c>
    </row>
    <row r="273" spans="1:22" x14ac:dyDescent="0.25">
      <c r="A273" s="8" t="s">
        <v>1267</v>
      </c>
      <c r="B273" s="5" t="s">
        <v>820</v>
      </c>
      <c r="C273" s="5" t="s">
        <v>938</v>
      </c>
      <c r="D273" s="5" t="s">
        <v>43</v>
      </c>
      <c r="E273" s="5" t="s">
        <v>821</v>
      </c>
      <c r="F273" s="5">
        <v>1</v>
      </c>
      <c r="G273" s="5">
        <v>200000</v>
      </c>
      <c r="H273" s="5">
        <v>200000</v>
      </c>
      <c r="I273" s="5" t="s">
        <v>919</v>
      </c>
      <c r="J273" s="6" t="s">
        <v>880</v>
      </c>
      <c r="M273" s="10">
        <f>DATEVALUE(SUBSTITUTE(SUBSTITUTE(SUBSTITUTE(SUBSTITUTE(SUBSTITUTE(SUBSTITUTE(SUBSTITUTE(SUBSTITUTE(SUBSTITUTE(SUBSTITUTE(SUBSTITUTE(SUBSTITUTE(Table1[[#This Row],[Tanggal]],"Jan", "Jan"),"Feb","Feb"),"Mar","Mar"),"Apr","Apr"),"Mei","May"),"Jun","Jun"),"Jul","Jul"),"Agu","Aug"),"Sep","Sep"),"Okt","Oct"),"Nov","Nov"),"Des","Dec"))</f>
        <v>47613</v>
      </c>
      <c r="N273" t="str">
        <f>Table1[[#This Row],[ID_Transaksi]]</f>
        <v>TRX-1272</v>
      </c>
      <c r="O273" s="5" t="str">
        <f>PROPER(TRIM(SUBSTITUTE(Table1[[#This Row],[Nama_Toko]],"""","")))</f>
        <v>Pasar Malam</v>
      </c>
      <c r="P273" s="3" t="str">
        <f>PROPER(TRIM(Table1[[#This Row],[Kategori_Produk]]))</f>
        <v>Pakaian</v>
      </c>
      <c r="Q273" t="str">
        <f>PROPER(TRIM(Table1[Nama Produk]))</f>
        <v>Sepatu Flat Shoes Wanita</v>
      </c>
      <c r="R273">
        <f>Table1[[#This Row],[Qty]]</f>
        <v>1</v>
      </c>
      <c r="S273" t="str">
        <f>SUBSTITUTE(SUBSTITUTE(Table1[[#This Row],[Harga_Satuan]],"Rp.",""),".","")</f>
        <v>200000</v>
      </c>
      <c r="T273">
        <f>Table1[[#This Row],[Total_Penjualan]]</f>
        <v>200000</v>
      </c>
      <c r="U273" t="str">
        <f>PROPER(Table1[[#This Row],[Kota]])</f>
        <v>Semarang</v>
      </c>
      <c r="V273" t="str">
        <f>PROPER(Table1[[#This Row],[Metode_Pembayaran]])</f>
        <v>Tunai</v>
      </c>
    </row>
    <row r="274" spans="1:22" x14ac:dyDescent="0.25">
      <c r="A274" s="7" t="s">
        <v>1548</v>
      </c>
      <c r="B274" s="3" t="s">
        <v>822</v>
      </c>
      <c r="C274" s="3" t="s">
        <v>1274</v>
      </c>
      <c r="D274" s="3" t="s">
        <v>901</v>
      </c>
      <c r="E274" s="3" t="s">
        <v>823</v>
      </c>
      <c r="F274" s="3">
        <v>1</v>
      </c>
      <c r="G274" s="3">
        <v>220000</v>
      </c>
      <c r="H274" s="3">
        <v>220000</v>
      </c>
      <c r="I274" s="3" t="s">
        <v>965</v>
      </c>
      <c r="J274" s="4" t="s">
        <v>29</v>
      </c>
      <c r="M274" s="10">
        <f>DATEVALUE(SUBSTITUTE(SUBSTITUTE(SUBSTITUTE(SUBSTITUTE(SUBSTITUTE(SUBSTITUTE(SUBSTITUTE(SUBSTITUTE(SUBSTITUTE(SUBSTITUTE(SUBSTITUTE(SUBSTITUTE(Table1[[#This Row],[Tanggal]],"Jan", "Jan"),"Feb","Feb"),"Mar","Mar"),"Apr","Apr"),"Mei","May"),"Jun","Jun"),"Jul","Jul"),"Agu","Aug"),"Sep","Sep"),"Okt","Oct"),"Nov","Nov"),"Des","Dec"))</f>
        <v>11098</v>
      </c>
      <c r="N274" t="str">
        <f>Table1[[#This Row],[ID_Transaksi]]</f>
        <v>INV-1273</v>
      </c>
      <c r="O274" s="5" t="str">
        <f>PROPER(TRIM(SUBSTITUTE(Table1[[#This Row],[Nama_Toko]],"""","")))</f>
        <v>Minimarket Nyaman</v>
      </c>
      <c r="P274" s="3" t="str">
        <f>PROPER(TRIM(Table1[[#This Row],[Kategori_Produk]]))</f>
        <v>Mainan</v>
      </c>
      <c r="Q274" t="str">
        <f>PROPER(TRIM(Table1[Nama Produk]))</f>
        <v>Papan Skateboard Pemula</v>
      </c>
      <c r="R274">
        <f>Table1[[#This Row],[Qty]]</f>
        <v>1</v>
      </c>
      <c r="S274" t="str">
        <f>SUBSTITUTE(SUBSTITUTE(Table1[[#This Row],[Harga_Satuan]],"Rp.",""),".","")</f>
        <v>220000</v>
      </c>
      <c r="T274">
        <f>Table1[[#This Row],[Total_Penjualan]]</f>
        <v>220000</v>
      </c>
      <c r="U274" t="str">
        <f>PROPER(Table1[[#This Row],[Kota]])</f>
        <v>Surabaya</v>
      </c>
      <c r="V274" t="str">
        <f>PROPER(Table1[[#This Row],[Metode_Pembayaran]])</f>
        <v>Kartu Kredit</v>
      </c>
    </row>
    <row r="275" spans="1:22" x14ac:dyDescent="0.25">
      <c r="A275" s="8" t="s">
        <v>1549</v>
      </c>
      <c r="B275" s="5" t="s">
        <v>824</v>
      </c>
      <c r="C275" s="5" t="s">
        <v>1275</v>
      </c>
      <c r="D275" s="5" t="s">
        <v>12</v>
      </c>
      <c r="E275" s="5" t="s">
        <v>825</v>
      </c>
      <c r="F275" s="5">
        <v>20</v>
      </c>
      <c r="G275" s="5">
        <v>3000</v>
      </c>
      <c r="H275" s="5">
        <v>60000</v>
      </c>
      <c r="I275" s="5" t="s">
        <v>937</v>
      </c>
      <c r="J275" s="6" t="s">
        <v>893</v>
      </c>
      <c r="M275" s="10">
        <f>DATEVALUE(SUBSTITUTE(SUBSTITUTE(SUBSTITUTE(SUBSTITUTE(SUBSTITUTE(SUBSTITUTE(SUBSTITUTE(SUBSTITUTE(SUBSTITUTE(SUBSTITUTE(SUBSTITUTE(SUBSTITUTE(Table1[[#This Row],[Tanggal]],"Jan", "Jan"),"Feb","Feb"),"Mar","Mar"),"Apr","Apr"),"Mei","May"),"Jun","Jun"),"Jul","Jul"),"Agu","Aug"),"Sep","Sep"),"Okt","Oct"),"Nov","Nov"),"Des","Dec"))</f>
        <v>11110</v>
      </c>
      <c r="N275" t="str">
        <f>Table1[[#This Row],[ID_Transaksi]]</f>
        <v>TRX-1274</v>
      </c>
      <c r="O275" s="5" t="str">
        <f>PROPER(TRIM(SUBSTITUTE(Table1[[#This Row],[Nama_Toko]],"""","")))</f>
        <v>Toko Seru</v>
      </c>
      <c r="P275" s="3" t="str">
        <f>PROPER(TRIM(Table1[[#This Row],[Kategori_Produk]]))</f>
        <v>Makanan</v>
      </c>
      <c r="Q275" t="str">
        <f>PROPER(TRIM(Table1[Nama Produk]))</f>
        <v>Permen Lollipop Besar</v>
      </c>
      <c r="R275">
        <f>Table1[[#This Row],[Qty]]</f>
        <v>20</v>
      </c>
      <c r="S275" t="str">
        <f>SUBSTITUTE(SUBSTITUTE(Table1[[#This Row],[Harga_Satuan]],"Rp.",""),".","")</f>
        <v>3000</v>
      </c>
      <c r="T275">
        <f>Table1[[#This Row],[Total_Penjualan]]</f>
        <v>60000</v>
      </c>
      <c r="U275" t="str">
        <f>PROPER(Table1[[#This Row],[Kota]])</f>
        <v>Depok</v>
      </c>
      <c r="V275" t="str">
        <f>PROPER(Table1[[#This Row],[Metode_Pembayaran]])</f>
        <v>Tunai</v>
      </c>
    </row>
    <row r="276" spans="1:22" x14ac:dyDescent="0.25">
      <c r="A276" s="7" t="s">
        <v>1550</v>
      </c>
      <c r="B276" s="3" t="s">
        <v>826</v>
      </c>
      <c r="C276" s="3" t="s">
        <v>1227</v>
      </c>
      <c r="D276" s="3" t="s">
        <v>19</v>
      </c>
      <c r="E276" s="3" t="s">
        <v>827</v>
      </c>
      <c r="F276" s="3">
        <v>4</v>
      </c>
      <c r="G276" s="3">
        <v>38000</v>
      </c>
      <c r="H276" s="3">
        <v>152000</v>
      </c>
      <c r="I276" s="3" t="s">
        <v>968</v>
      </c>
      <c r="J276" s="4" t="s">
        <v>884</v>
      </c>
      <c r="M276" s="10">
        <f>DATEVALUE(SUBSTITUTE(SUBSTITUTE(SUBSTITUTE(SUBSTITUTE(SUBSTITUTE(SUBSTITUTE(SUBSTITUTE(SUBSTITUTE(SUBSTITUTE(SUBSTITUTE(SUBSTITUTE(SUBSTITUTE(Table1[[#This Row],[Tanggal]],"Jan", "Jan"),"Feb","Feb"),"Mar","Mar"),"Apr","Apr"),"Mei","May"),"Jun","Jun"),"Jul","Jul"),"Agu","Aug"),"Sep","Sep"),"Okt","Oct"),"Nov","Nov"),"Des","Dec"))</f>
        <v>47649</v>
      </c>
      <c r="N276" t="str">
        <f>Table1[[#This Row],[ID_Transaksi]]</f>
        <v>INV-1275</v>
      </c>
      <c r="O276" s="5" t="str">
        <f>PROPER(TRIM(SUBSTITUTE(Table1[[#This Row],[Nama_Toko]],"""","")))</f>
        <v>Grosir Pertiwi</v>
      </c>
      <c r="P276" s="3" t="str">
        <f>PROPER(TRIM(Table1[[#This Row],[Kategori_Produk]]))</f>
        <v>Minuman</v>
      </c>
      <c r="Q276" t="str">
        <f>PROPER(TRIM(Table1[Nama Produk]))</f>
        <v>Kefir Susu Fermentasi</v>
      </c>
      <c r="R276">
        <f>Table1[[#This Row],[Qty]]</f>
        <v>4</v>
      </c>
      <c r="S276" t="str">
        <f>SUBSTITUTE(SUBSTITUTE(Table1[[#This Row],[Harga_Satuan]],"Rp.",""),".","")</f>
        <v>38000</v>
      </c>
      <c r="T276">
        <f>Table1[[#This Row],[Total_Penjualan]]</f>
        <v>152000</v>
      </c>
      <c r="U276" t="str">
        <f>PROPER(Table1[[#This Row],[Kota]])</f>
        <v>Jakarta Selatan</v>
      </c>
      <c r="V276" t="str">
        <f>PROPER(Table1[[#This Row],[Metode_Pembayaran]])</f>
        <v>Kartu Debit</v>
      </c>
    </row>
    <row r="277" spans="1:22" x14ac:dyDescent="0.25">
      <c r="A277" s="8" t="s">
        <v>1551</v>
      </c>
      <c r="B277" s="5" t="s">
        <v>828</v>
      </c>
      <c r="C277" s="5" t="s">
        <v>1137</v>
      </c>
      <c r="D277" s="5" t="s">
        <v>886</v>
      </c>
      <c r="E277" s="5" t="s">
        <v>829</v>
      </c>
      <c r="F277" s="5">
        <v>1</v>
      </c>
      <c r="G277" s="5">
        <v>60000</v>
      </c>
      <c r="H277" s="5">
        <v>60000</v>
      </c>
      <c r="I277" s="5" t="s">
        <v>915</v>
      </c>
      <c r="J277" s="6" t="s">
        <v>888</v>
      </c>
      <c r="M277" s="10">
        <f>DATEVALUE(SUBSTITUTE(SUBSTITUTE(SUBSTITUTE(SUBSTITUTE(SUBSTITUTE(SUBSTITUTE(SUBSTITUTE(SUBSTITUTE(SUBSTITUTE(SUBSTITUTE(SUBSTITUTE(SUBSTITUTE(Table1[[#This Row],[Tanggal]],"Jan", "Jan"),"Feb","Feb"),"Mar","Mar"),"Apr","Apr"),"Mei","May"),"Jun","Jun"),"Jul","Jul"),"Agu","Aug"),"Sep","Sep"),"Okt","Oct"),"Nov","Nov"),"Des","Dec"))</f>
        <v>11134</v>
      </c>
      <c r="N277" t="str">
        <f>Table1[[#This Row],[ID_Transaksi]]</f>
        <v>TRX-1276</v>
      </c>
      <c r="O277" s="5" t="str">
        <f>PROPER(TRIM(SUBSTITUTE(Table1[[#This Row],[Nama_Toko]],"""","")))</f>
        <v>Warung Barokah</v>
      </c>
      <c r="P277" s="3" t="str">
        <f>PROPER(TRIM(Table1[[#This Row],[Kategori_Produk]]))</f>
        <v>Elektronik</v>
      </c>
      <c r="Q277" t="str">
        <f>PROPER(TRIM(Table1[Nama Produk]))</f>
        <v>Timbangan Dapur Digital</v>
      </c>
      <c r="R277">
        <f>Table1[[#This Row],[Qty]]</f>
        <v>1</v>
      </c>
      <c r="S277" t="str">
        <f>SUBSTITUTE(SUBSTITUTE(Table1[[#This Row],[Harga_Satuan]],"Rp.",""),".","")</f>
        <v>60000</v>
      </c>
      <c r="T277">
        <f>Table1[[#This Row],[Total_Penjualan]]</f>
        <v>60000</v>
      </c>
      <c r="U277" t="str">
        <f>PROPER(Table1[[#This Row],[Kota]])</f>
        <v>Medan</v>
      </c>
      <c r="V277" t="str">
        <f>PROPER(Table1[[#This Row],[Metode_Pembayaran]])</f>
        <v>Kartu Kredit</v>
      </c>
    </row>
    <row r="278" spans="1:22" x14ac:dyDescent="0.25">
      <c r="A278" s="7" t="s">
        <v>1552</v>
      </c>
      <c r="B278" s="3" t="s">
        <v>830</v>
      </c>
      <c r="C278" s="3" t="s">
        <v>1277</v>
      </c>
      <c r="D278" s="3" t="s">
        <v>890</v>
      </c>
      <c r="E278" s="3" t="s">
        <v>831</v>
      </c>
      <c r="F278" s="3">
        <v>3</v>
      </c>
      <c r="G278" s="3">
        <v>45000</v>
      </c>
      <c r="H278" s="3">
        <v>135000</v>
      </c>
      <c r="I278" s="3" t="s">
        <v>913</v>
      </c>
      <c r="J278" s="4" t="s">
        <v>893</v>
      </c>
      <c r="M278" s="10">
        <f>DATEVALUE(SUBSTITUTE(SUBSTITUTE(SUBSTITUTE(SUBSTITUTE(SUBSTITUTE(SUBSTITUTE(SUBSTITUTE(SUBSTITUTE(SUBSTITUTE(SUBSTITUTE(SUBSTITUTE(SUBSTITUTE(Table1[[#This Row],[Tanggal]],"Jan", "Jan"),"Feb","Feb"),"Mar","Mar"),"Apr","Apr"),"Mei","May"),"Jun","Jun"),"Jul","Jul"),"Agu","Aug"),"Sep","Sep"),"Okt","Oct"),"Nov","Nov"),"Des","Dec"))</f>
        <v>11144</v>
      </c>
      <c r="N278" t="str">
        <f>Table1[[#This Row],[ID_Transaksi]]</f>
        <v>INV-1277</v>
      </c>
      <c r="O278" s="5" t="str">
        <f>PROPER(TRIM(SUBSTITUTE(Table1[[#This Row],[Nama_Toko]],"""","")))</f>
        <v>Gudang Pelita</v>
      </c>
      <c r="P278" s="3" t="str">
        <f>PROPER(TRIM(Table1[[#This Row],[Kategori_Produk]]))</f>
        <v>Kecantikan</v>
      </c>
      <c r="Q278" t="str">
        <f>PROPER(TRIM(Table1[Nama Produk]))</f>
        <v>Shampoo Anti Rontok</v>
      </c>
      <c r="R278">
        <f>Table1[[#This Row],[Qty]]</f>
        <v>3</v>
      </c>
      <c r="S278" t="str">
        <f>SUBSTITUTE(SUBSTITUTE(Table1[[#This Row],[Harga_Satuan]],"Rp.",""),".","")</f>
        <v>45000</v>
      </c>
      <c r="T278">
        <f>Table1[[#This Row],[Total_Penjualan]]</f>
        <v>135000</v>
      </c>
      <c r="U278" t="str">
        <f>PROPER(Table1[[#This Row],[Kota]])</f>
        <v>Yogyakarta</v>
      </c>
      <c r="V278" t="str">
        <f>PROPER(Table1[[#This Row],[Metode_Pembayaran]])</f>
        <v>Tunai</v>
      </c>
    </row>
    <row r="279" spans="1:22" x14ac:dyDescent="0.25">
      <c r="A279" s="8" t="s">
        <v>1553</v>
      </c>
      <c r="B279" s="5" t="s">
        <v>832</v>
      </c>
      <c r="C279" s="5" t="s">
        <v>982</v>
      </c>
      <c r="D279" s="5" t="s">
        <v>895</v>
      </c>
      <c r="E279" s="5" t="s">
        <v>1278</v>
      </c>
      <c r="F279" s="5">
        <v>6</v>
      </c>
      <c r="G279" s="5">
        <v>15000</v>
      </c>
      <c r="H279" s="5">
        <v>90000</v>
      </c>
      <c r="I279" s="5" t="s">
        <v>996</v>
      </c>
      <c r="J279" s="6" t="s">
        <v>884</v>
      </c>
      <c r="M279" s="10">
        <f>DATEVALUE(SUBSTITUTE(SUBSTITUTE(SUBSTITUTE(SUBSTITUTE(SUBSTITUTE(SUBSTITUTE(SUBSTITUTE(SUBSTITUTE(SUBSTITUTE(SUBSTITUTE(SUBSTITUTE(SUBSTITUTE(Table1[[#This Row],[Tanggal]],"Jan", "Jan"),"Feb","Feb"),"Mar","Mar"),"Apr","Apr"),"Mei","May"),"Jun","Jun"),"Jul","Jul"),"Agu","Aug"),"Sep","Sep"),"Okt","Oct"),"Nov","Nov"),"Des","Dec"))</f>
        <v>47679</v>
      </c>
      <c r="N279" t="str">
        <f>Table1[[#This Row],[ID_Transaksi]]</f>
        <v>TRX-1278</v>
      </c>
      <c r="O279" s="5" t="str">
        <f>PROPER(TRIM(SUBSTITUTE(Table1[[#This Row],[Nama_Toko]],"""","")))</f>
        <v>Toko Sukses</v>
      </c>
      <c r="P279" s="3" t="str">
        <f>PROPER(TRIM(Table1[[#This Row],[Kategori_Produk]]))</f>
        <v>Makanan</v>
      </c>
      <c r="Q279" t="str">
        <f>PROPER(TRIM(Table1[Nama Produk]))</f>
        <v>Gula Batu 500G</v>
      </c>
      <c r="R279">
        <f>Table1[[#This Row],[Qty]]</f>
        <v>6</v>
      </c>
      <c r="S279" t="str">
        <f>SUBSTITUTE(SUBSTITUTE(Table1[[#This Row],[Harga_Satuan]],"Rp.",""),".","")</f>
        <v>15000</v>
      </c>
      <c r="T279">
        <f>Table1[[#This Row],[Total_Penjualan]]</f>
        <v>90000</v>
      </c>
      <c r="U279" t="str">
        <f>PROPER(Table1[[#This Row],[Kota]])</f>
        <v>Malang</v>
      </c>
      <c r="V279" t="str">
        <f>PROPER(Table1[[#This Row],[Metode_Pembayaran]])</f>
        <v>Kartu Debit</v>
      </c>
    </row>
    <row r="280" spans="1:22" x14ac:dyDescent="0.25">
      <c r="A280" s="7" t="s">
        <v>1554</v>
      </c>
      <c r="B280" s="3" t="s">
        <v>834</v>
      </c>
      <c r="C280" s="3" t="s">
        <v>1279</v>
      </c>
      <c r="D280" s="3" t="s">
        <v>43</v>
      </c>
      <c r="E280" s="3" t="s">
        <v>835</v>
      </c>
      <c r="F280" s="3">
        <v>5</v>
      </c>
      <c r="G280" s="3">
        <v>60000</v>
      </c>
      <c r="H280" s="3">
        <v>300000</v>
      </c>
      <c r="I280" s="3" t="s">
        <v>21</v>
      </c>
      <c r="J280" s="4" t="s">
        <v>880</v>
      </c>
      <c r="M280" s="10">
        <f>DATEVALUE(SUBSTITUTE(SUBSTITUTE(SUBSTITUTE(SUBSTITUTE(SUBSTITUTE(SUBSTITUTE(SUBSTITUTE(SUBSTITUTE(SUBSTITUTE(SUBSTITUTE(SUBSTITUTE(SUBSTITUTE(Table1[[#This Row],[Tanggal]],"Jan", "Jan"),"Feb","Feb"),"Mar","Mar"),"Apr","Apr"),"Mei","May"),"Jun","Jun"),"Jul","Jul"),"Agu","Aug"),"Sep","Sep"),"Okt","Oct"),"Nov","Nov"),"Des","Dec"))</f>
        <v>11164</v>
      </c>
      <c r="N280" t="str">
        <f>Table1[[#This Row],[ID_Transaksi]]</f>
        <v>INV-1279</v>
      </c>
      <c r="O280" s="5" t="str">
        <f>PROPER(TRIM(SUBSTITUTE(Table1[[#This Row],[Nama_Toko]],"""","")))</f>
        <v>Pasar Pagi Bugar</v>
      </c>
      <c r="P280" s="3" t="str">
        <f>PROPER(TRIM(Table1[[#This Row],[Kategori_Produk]]))</f>
        <v>Pakaian</v>
      </c>
      <c r="Q280" t="str">
        <f>PROPER(TRIM(Table1[Nama Produk]))</f>
        <v>Sandal Pria Sport</v>
      </c>
      <c r="R280">
        <f>Table1[[#This Row],[Qty]]</f>
        <v>5</v>
      </c>
      <c r="S280" t="str">
        <f>SUBSTITUTE(SUBSTITUTE(Table1[[#This Row],[Harga_Satuan]],"Rp.",""),".","")</f>
        <v>60000</v>
      </c>
      <c r="T280">
        <f>Table1[[#This Row],[Total_Penjualan]]</f>
        <v>300000</v>
      </c>
      <c r="U280" t="str">
        <f>PROPER(Table1[[#This Row],[Kota]])</f>
        <v>Bandung</v>
      </c>
      <c r="V280" t="str">
        <f>PROPER(Table1[[#This Row],[Metode_Pembayaran]])</f>
        <v>Tunai</v>
      </c>
    </row>
    <row r="281" spans="1:22" x14ac:dyDescent="0.25">
      <c r="A281" s="8" t="s">
        <v>1555</v>
      </c>
      <c r="B281" s="5" t="s">
        <v>836</v>
      </c>
      <c r="C281" s="5" t="s">
        <v>985</v>
      </c>
      <c r="D281" s="5" t="s">
        <v>901</v>
      </c>
      <c r="E281" s="5" t="s">
        <v>837</v>
      </c>
      <c r="F281" s="5">
        <v>10</v>
      </c>
      <c r="G281" s="5">
        <v>35000</v>
      </c>
      <c r="H281" s="5">
        <v>350000</v>
      </c>
      <c r="I281" s="5" t="s">
        <v>53</v>
      </c>
      <c r="J281" s="6" t="s">
        <v>29</v>
      </c>
      <c r="M281" s="10">
        <f>DATEVALUE(SUBSTITUTE(SUBSTITUTE(SUBSTITUTE(SUBSTITUTE(SUBSTITUTE(SUBSTITUTE(SUBSTITUTE(SUBSTITUTE(SUBSTITUTE(SUBSTITUTE(SUBSTITUTE(SUBSTITUTE(Table1[[#This Row],[Tanggal]],"Jan", "Jan"),"Feb","Feb"),"Mar","Mar"),"Apr","Apr"),"Mei","May"),"Jun","Jun"),"Jul","Jul"),"Agu","Aug"),"Sep","Sep"),"Okt","Oct"),"Nov","Nov"),"Des","Dec"))</f>
        <v>11171</v>
      </c>
      <c r="N281" t="str">
        <f>Table1[[#This Row],[ID_Transaksi]]</f>
        <v>TRX-1280</v>
      </c>
      <c r="O281" s="5" t="str">
        <f>PROPER(TRIM(SUBSTITUTE(Table1[[#This Row],[Nama_Toko]],"""","")))</f>
        <v>Minimarket Pintar</v>
      </c>
      <c r="P281" s="3" t="str">
        <f>PROPER(TRIM(Table1[[#This Row],[Kategori_Produk]]))</f>
        <v>Mainan</v>
      </c>
      <c r="Q281" t="str">
        <f>PROPER(TRIM(Table1[Nama Produk]))</f>
        <v>Set Mainan Memancing</v>
      </c>
      <c r="R281">
        <f>Table1[[#This Row],[Qty]]</f>
        <v>10</v>
      </c>
      <c r="S281" t="str">
        <f>SUBSTITUTE(SUBSTITUTE(Table1[[#This Row],[Harga_Satuan]],"Rp.",""),".","")</f>
        <v>35000</v>
      </c>
      <c r="T281">
        <f>Table1[[#This Row],[Total_Penjualan]]</f>
        <v>350000</v>
      </c>
      <c r="U281" t="str">
        <f>PROPER(Table1[[#This Row],[Kota]])</f>
        <v>Semarang</v>
      </c>
      <c r="V281" t="str">
        <f>PROPER(Table1[[#This Row],[Metode_Pembayaran]])</f>
        <v>Kartu Kredit</v>
      </c>
    </row>
    <row r="282" spans="1:22" x14ac:dyDescent="0.25">
      <c r="A282" s="7" t="s">
        <v>1276</v>
      </c>
      <c r="B282" s="3" t="s">
        <v>838</v>
      </c>
      <c r="C282" s="3" t="s">
        <v>1280</v>
      </c>
      <c r="D282" s="3" t="s">
        <v>12</v>
      </c>
      <c r="E282" s="3" t="s">
        <v>1281</v>
      </c>
      <c r="F282" s="3">
        <v>2</v>
      </c>
      <c r="G282" s="3">
        <v>18000</v>
      </c>
      <c r="H282" s="3">
        <v>36000</v>
      </c>
      <c r="I282" s="3" t="s">
        <v>28</v>
      </c>
      <c r="J282" s="4" t="s">
        <v>893</v>
      </c>
      <c r="M282" s="10">
        <f>DATEVALUE(SUBSTITUTE(SUBSTITUTE(SUBSTITUTE(SUBSTITUTE(SUBSTITUTE(SUBSTITUTE(SUBSTITUTE(SUBSTITUTE(SUBSTITUTE(SUBSTITUTE(SUBSTITUTE(SUBSTITUTE(Table1[[#This Row],[Tanggal]],"Jan", "Jan"),"Feb","Feb"),"Mar","Mar"),"Apr","Apr"),"Mei","May"),"Jun","Jun"),"Jul","Jul"),"Agu","Aug"),"Sep","Sep"),"Okt","Oct"),"Nov","Nov"),"Des","Dec"))</f>
        <v>47705</v>
      </c>
      <c r="N282" t="str">
        <f>Table1[[#This Row],[ID_Transaksi]]</f>
        <v>INV-1281</v>
      </c>
      <c r="O282" s="5" t="str">
        <f>PROPER(TRIM(SUBSTITUTE(Table1[[#This Row],[Nama_Toko]],"""","")))</f>
        <v>Toko Sembako</v>
      </c>
      <c r="P282" s="3" t="str">
        <f>PROPER(TRIM(Table1[[#This Row],[Kategori_Produk]]))</f>
        <v>Makanan</v>
      </c>
      <c r="Q282" t="str">
        <f>PROPER(TRIM(Table1[Nama Produk]))</f>
        <v>Tepung Beras Ketan 1Kg</v>
      </c>
      <c r="R282">
        <f>Table1[[#This Row],[Qty]]</f>
        <v>2</v>
      </c>
      <c r="S282" t="str">
        <f>SUBSTITUTE(SUBSTITUTE(Table1[[#This Row],[Harga_Satuan]],"Rp.",""),".","")</f>
        <v>18000</v>
      </c>
      <c r="T282">
        <f>Table1[[#This Row],[Total_Penjualan]]</f>
        <v>36000</v>
      </c>
      <c r="U282" t="str">
        <f>PROPER(Table1[[#This Row],[Kota]])</f>
        <v>Surabaya</v>
      </c>
      <c r="V282" t="str">
        <f>PROPER(Table1[[#This Row],[Metode_Pembayaran]])</f>
        <v>Tunai</v>
      </c>
    </row>
    <row r="283" spans="1:22" x14ac:dyDescent="0.25">
      <c r="A283" s="8" t="s">
        <v>1556</v>
      </c>
      <c r="B283" s="5" t="s">
        <v>840</v>
      </c>
      <c r="C283" s="5" t="s">
        <v>1282</v>
      </c>
      <c r="D283" s="5" t="s">
        <v>19</v>
      </c>
      <c r="E283" s="5" t="s">
        <v>841</v>
      </c>
      <c r="F283" s="5">
        <v>1</v>
      </c>
      <c r="G283" s="5">
        <v>40000</v>
      </c>
      <c r="H283" s="5">
        <v>40000</v>
      </c>
      <c r="I283" s="5" t="s">
        <v>923</v>
      </c>
      <c r="J283" s="6" t="s">
        <v>884</v>
      </c>
      <c r="M283" s="10">
        <f>DATEVALUE(SUBSTITUTE(SUBSTITUTE(SUBSTITUTE(SUBSTITUTE(SUBSTITUTE(SUBSTITUTE(SUBSTITUTE(SUBSTITUTE(SUBSTITUTE(SUBSTITUTE(SUBSTITUTE(SUBSTITUTE(Table1[[#This Row],[Tanggal]],"Jan", "Jan"),"Feb","Feb"),"Mar","Mar"),"Apr","Apr"),"Mei","May"),"Jun","Jun"),"Jul","Jul"),"Agu","Aug"),"Sep","Sep"),"Okt","Oct"),"Nov","Nov"),"Des","Dec"))</f>
        <v>11190</v>
      </c>
      <c r="N283" t="str">
        <f>Table1[[#This Row],[ID_Transaksi]]</f>
        <v>TRX-1282</v>
      </c>
      <c r="O283" s="5" t="str">
        <f>PROPER(TRIM(SUBSTITUTE(Table1[[#This Row],[Nama_Toko]],"""","")))</f>
        <v>Grosir Cepat</v>
      </c>
      <c r="P283" s="3" t="str">
        <f>PROPER(TRIM(Table1[[#This Row],[Kategori_Produk]]))</f>
        <v>Minuman</v>
      </c>
      <c r="Q283" t="str">
        <f>PROPER(TRIM(Table1[Nama Produk]))</f>
        <v>Susu Almond Organik</v>
      </c>
      <c r="R283">
        <f>Table1[[#This Row],[Qty]]</f>
        <v>1</v>
      </c>
      <c r="S283" t="str">
        <f>SUBSTITUTE(SUBSTITUTE(Table1[[#This Row],[Harga_Satuan]],"Rp.",""),".","")</f>
        <v>40000</v>
      </c>
      <c r="T283">
        <f>Table1[[#This Row],[Total_Penjualan]]</f>
        <v>40000</v>
      </c>
      <c r="U283" t="str">
        <f>PROPER(Table1[[#This Row],[Kota]])</f>
        <v>Denpasar</v>
      </c>
      <c r="V283" t="str">
        <f>PROPER(Table1[[#This Row],[Metode_Pembayaran]])</f>
        <v>Kartu Debit</v>
      </c>
    </row>
    <row r="284" spans="1:22" x14ac:dyDescent="0.25">
      <c r="A284" s="7" t="s">
        <v>1557</v>
      </c>
      <c r="B284" s="3" t="s">
        <v>842</v>
      </c>
      <c r="C284" s="3" t="s">
        <v>1259</v>
      </c>
      <c r="D284" s="3" t="s">
        <v>886</v>
      </c>
      <c r="E284" s="3" t="s">
        <v>843</v>
      </c>
      <c r="F284" s="3">
        <v>8</v>
      </c>
      <c r="G284" s="3">
        <v>15000</v>
      </c>
      <c r="H284" s="3">
        <v>120000</v>
      </c>
      <c r="I284" s="3" t="s">
        <v>1004</v>
      </c>
      <c r="J284" s="4" t="s">
        <v>888</v>
      </c>
      <c r="M284" s="10">
        <f>DATEVALUE(SUBSTITUTE(SUBSTITUTE(SUBSTITUTE(SUBSTITUTE(SUBSTITUTE(SUBSTITUTE(SUBSTITUTE(SUBSTITUTE(SUBSTITUTE(SUBSTITUTE(SUBSTITUTE(SUBSTITUTE(Table1[[#This Row],[Tanggal]],"Jan", "Jan"),"Feb","Feb"),"Mar","Mar"),"Apr","Apr"),"Mei","May"),"Jun","Jun"),"Jul","Jul"),"Agu","Aug"),"Sep","Sep"),"Okt","Oct"),"Nov","Nov"),"Des","Dec"))</f>
        <v>11202</v>
      </c>
      <c r="N284" t="str">
        <f>Table1[[#This Row],[ID_Transaksi]]</f>
        <v>INV-1283</v>
      </c>
      <c r="O284" s="5" t="str">
        <f>PROPER(TRIM(SUBSTITUTE(Table1[[#This Row],[Nama_Toko]],"""","")))</f>
        <v>Warung Damai</v>
      </c>
      <c r="P284" s="3" t="str">
        <f>PROPER(TRIM(Table1[[#This Row],[Kategori_Produk]]))</f>
        <v>Elektronik</v>
      </c>
      <c r="Q284" t="str">
        <f>PROPER(TRIM(Table1[Nama Produk]))</f>
        <v>Power Cord Universal</v>
      </c>
      <c r="R284">
        <f>Table1[[#This Row],[Qty]]</f>
        <v>8</v>
      </c>
      <c r="S284" t="str">
        <f>SUBSTITUTE(SUBSTITUTE(Table1[[#This Row],[Harga_Satuan]],"Rp.",""),".","")</f>
        <v>15000</v>
      </c>
      <c r="T284">
        <f>Table1[[#This Row],[Total_Penjualan]]</f>
        <v>120000</v>
      </c>
      <c r="U284" t="str">
        <f>PROPER(Table1[[#This Row],[Kota]])</f>
        <v>Jakarta</v>
      </c>
      <c r="V284" t="str">
        <f>PROPER(Table1[[#This Row],[Metode_Pembayaran]])</f>
        <v>Kartu Kredit</v>
      </c>
    </row>
    <row r="285" spans="1:22" x14ac:dyDescent="0.25">
      <c r="A285" s="8" t="s">
        <v>1558</v>
      </c>
      <c r="B285" s="5" t="s">
        <v>844</v>
      </c>
      <c r="C285" s="5" t="s">
        <v>1284</v>
      </c>
      <c r="D285" s="5" t="s">
        <v>890</v>
      </c>
      <c r="E285" s="5" t="s">
        <v>845</v>
      </c>
      <c r="F285" s="5">
        <v>6</v>
      </c>
      <c r="G285" s="5">
        <v>28000</v>
      </c>
      <c r="H285" s="5">
        <v>168000</v>
      </c>
      <c r="I285" s="5" t="s">
        <v>915</v>
      </c>
      <c r="J285" s="6" t="s">
        <v>893</v>
      </c>
      <c r="M285" s="10">
        <f>DATEVALUE(SUBSTITUTE(SUBSTITUTE(SUBSTITUTE(SUBSTITUTE(SUBSTITUTE(SUBSTITUTE(SUBSTITUTE(SUBSTITUTE(SUBSTITUTE(SUBSTITUTE(SUBSTITUTE(SUBSTITUTE(Table1[[#This Row],[Tanggal]],"Jan", "Jan"),"Feb","Feb"),"Mar","Mar"),"Apr","Apr"),"Mei","May"),"Jun","Jun"),"Jul","Jul"),"Agu","Aug"),"Sep","Sep"),"Okt","Oct"),"Nov","Nov"),"Des","Dec"))</f>
        <v>47741</v>
      </c>
      <c r="N285" t="str">
        <f>Table1[[#This Row],[ID_Transaksi]]</f>
        <v>TRX-1284</v>
      </c>
      <c r="O285" s="5" t="str">
        <f>PROPER(TRIM(SUBSTITUTE(Table1[[#This Row],[Nama_Toko]],"""","")))</f>
        <v>Gudang Baru</v>
      </c>
      <c r="P285" s="3" t="str">
        <f>PROPER(TRIM(Table1[[#This Row],[Kategori_Produk]]))</f>
        <v>Kecantikan</v>
      </c>
      <c r="Q285" t="str">
        <f>PROPER(TRIM(Table1[Nama Produk]))</f>
        <v>Lip Tint Glossy</v>
      </c>
      <c r="R285">
        <f>Table1[[#This Row],[Qty]]</f>
        <v>6</v>
      </c>
      <c r="S285" t="str">
        <f>SUBSTITUTE(SUBSTITUTE(Table1[[#This Row],[Harga_Satuan]],"Rp.",""),".","")</f>
        <v>28000</v>
      </c>
      <c r="T285">
        <f>Table1[[#This Row],[Total_Penjualan]]</f>
        <v>168000</v>
      </c>
      <c r="U285" t="str">
        <f>PROPER(Table1[[#This Row],[Kota]])</f>
        <v>Medan</v>
      </c>
      <c r="V285" t="str">
        <f>PROPER(Table1[[#This Row],[Metode_Pembayaran]])</f>
        <v>Tunai</v>
      </c>
    </row>
    <row r="286" spans="1:22" x14ac:dyDescent="0.25">
      <c r="A286" s="7" t="s">
        <v>1559</v>
      </c>
      <c r="B286" s="3" t="s">
        <v>846</v>
      </c>
      <c r="C286" s="3" t="s">
        <v>1285</v>
      </c>
      <c r="D286" s="3" t="s">
        <v>895</v>
      </c>
      <c r="E286" s="3" t="s">
        <v>1286</v>
      </c>
      <c r="F286" s="3">
        <v>3</v>
      </c>
      <c r="G286" s="3">
        <v>25000</v>
      </c>
      <c r="H286" s="3">
        <v>75000</v>
      </c>
      <c r="I286" s="3" t="s">
        <v>958</v>
      </c>
      <c r="J286" s="4" t="s">
        <v>884</v>
      </c>
      <c r="M286" s="10">
        <f>DATEVALUE(SUBSTITUTE(SUBSTITUTE(SUBSTITUTE(SUBSTITUTE(SUBSTITUTE(SUBSTITUTE(SUBSTITUTE(SUBSTITUTE(SUBSTITUTE(SUBSTITUTE(SUBSTITUTE(SUBSTITUTE(Table1[[#This Row],[Tanggal]],"Jan", "Jan"),"Feb","Feb"),"Mar","Mar"),"Apr","Apr"),"Mei","May"),"Jun","Jun"),"Jul","Jul"),"Agu","Aug"),"Sep","Sep"),"Okt","Oct"),"Nov","Nov"),"Des","Dec"))</f>
        <v>11226</v>
      </c>
      <c r="N286" t="str">
        <f>Table1[[#This Row],[ID_Transaksi]]</f>
        <v>INV-1285</v>
      </c>
      <c r="O286" s="5" t="str">
        <f>PROPER(TRIM(SUBSTITUTE(Table1[[#This Row],[Nama_Toko]],"""","")))</f>
        <v>Toko Jaya</v>
      </c>
      <c r="P286" s="3" t="str">
        <f>PROPER(TRIM(Table1[[#This Row],[Kategori_Produk]]))</f>
        <v>Makanan</v>
      </c>
      <c r="Q286" t="str">
        <f>PROPER(TRIM(Table1[Nama Produk]))</f>
        <v>Bawang Bombay 1 Kg</v>
      </c>
      <c r="R286">
        <f>Table1[[#This Row],[Qty]]</f>
        <v>3</v>
      </c>
      <c r="S286" t="str">
        <f>SUBSTITUTE(SUBSTITUTE(Table1[[#This Row],[Harga_Satuan]],"Rp.",""),".","")</f>
        <v>25000</v>
      </c>
      <c r="T286">
        <f>Table1[[#This Row],[Total_Penjualan]]</f>
        <v>75000</v>
      </c>
      <c r="U286" t="str">
        <f>PROPER(Table1[[#This Row],[Kota]])</f>
        <v>Yogyakarta</v>
      </c>
      <c r="V286" t="str">
        <f>PROPER(Table1[[#This Row],[Metode_Pembayaran]])</f>
        <v>Kartu Debit</v>
      </c>
    </row>
    <row r="287" spans="1:22" x14ac:dyDescent="0.25">
      <c r="A287" s="8" t="s">
        <v>1560</v>
      </c>
      <c r="B287" s="5" t="s">
        <v>848</v>
      </c>
      <c r="C287" s="5" t="s">
        <v>1287</v>
      </c>
      <c r="D287" s="5" t="s">
        <v>43</v>
      </c>
      <c r="E287" s="5" t="s">
        <v>849</v>
      </c>
      <c r="F287" s="5">
        <v>2</v>
      </c>
      <c r="G287" s="5">
        <v>140000</v>
      </c>
      <c r="H287" s="5">
        <v>280000</v>
      </c>
      <c r="I287" s="5" t="s">
        <v>960</v>
      </c>
      <c r="J287" s="6" t="s">
        <v>880</v>
      </c>
      <c r="M287" s="10">
        <f>DATEVALUE(SUBSTITUTE(SUBSTITUTE(SUBSTITUTE(SUBSTITUTE(SUBSTITUTE(SUBSTITUTE(SUBSTITUTE(SUBSTITUTE(SUBSTITUTE(SUBSTITUTE(SUBSTITUTE(SUBSTITUTE(Table1[[#This Row],[Tanggal]],"Jan", "Jan"),"Feb","Feb"),"Mar","Mar"),"Apr","Apr"),"Mei","May"),"Jun","Jun"),"Jul","Jul"),"Agu","Aug"),"Sep","Sep"),"Okt","Oct"),"Nov","Nov"),"Des","Dec"))</f>
        <v>11236</v>
      </c>
      <c r="N287" t="str">
        <f>Table1[[#This Row],[ID_Transaksi]]</f>
        <v>TRX-1286</v>
      </c>
      <c r="O287" s="5" t="str">
        <f>PROPER(TRIM(SUBSTITUTE(Table1[[#This Row],[Nama_Toko]],"""","")))</f>
        <v>Pasar Raya</v>
      </c>
      <c r="P287" s="3" t="str">
        <f>PROPER(TRIM(Table1[[#This Row],[Kategori_Produk]]))</f>
        <v>Pakaian</v>
      </c>
      <c r="Q287" t="str">
        <f>PROPER(TRIM(Table1[Nama Produk]))</f>
        <v>Kemeja Flanel Kotak-Kotak</v>
      </c>
      <c r="R287">
        <f>Table1[[#This Row],[Qty]]</f>
        <v>2</v>
      </c>
      <c r="S287" t="str">
        <f>SUBSTITUTE(SUBSTITUTE(Table1[[#This Row],[Harga_Satuan]],"Rp.",""),".","")</f>
        <v>140000</v>
      </c>
      <c r="T287">
        <f>Table1[[#This Row],[Total_Penjualan]]</f>
        <v>280000</v>
      </c>
      <c r="U287" t="str">
        <f>PROPER(Table1[[#This Row],[Kota]])</f>
        <v>Malang</v>
      </c>
      <c r="V287" t="str">
        <f>PROPER(Table1[[#This Row],[Metode_Pembayaran]])</f>
        <v>Tunai</v>
      </c>
    </row>
    <row r="288" spans="1:22" x14ac:dyDescent="0.25">
      <c r="A288" s="7" t="s">
        <v>1283</v>
      </c>
      <c r="B288" s="3" t="s">
        <v>850</v>
      </c>
      <c r="C288" s="3" t="s">
        <v>1018</v>
      </c>
      <c r="D288" s="3" t="s">
        <v>901</v>
      </c>
      <c r="E288" s="3" t="s">
        <v>851</v>
      </c>
      <c r="F288" s="3">
        <v>15</v>
      </c>
      <c r="G288" s="3">
        <v>8000</v>
      </c>
      <c r="H288" s="3">
        <v>120000</v>
      </c>
      <c r="I288" s="3" t="s">
        <v>883</v>
      </c>
      <c r="J288" s="4" t="s">
        <v>29</v>
      </c>
      <c r="M288" s="10">
        <f>DATEVALUE(SUBSTITUTE(SUBSTITUTE(SUBSTITUTE(SUBSTITUTE(SUBSTITUTE(SUBSTITUTE(SUBSTITUTE(SUBSTITUTE(SUBSTITUTE(SUBSTITUTE(SUBSTITUTE(SUBSTITUTE(Table1[[#This Row],[Tanggal]],"Jan", "Jan"),"Feb","Feb"),"Mar","Mar"),"Apr","Apr"),"Mei","May"),"Jun","Jun"),"Jul","Jul"),"Agu","Aug"),"Sep","Sep"),"Okt","Oct"),"Nov","Nov"),"Des","Dec"))</f>
        <v>47771</v>
      </c>
      <c r="N288" t="str">
        <f>Table1[[#This Row],[ID_Transaksi]]</f>
        <v>INV-1287</v>
      </c>
      <c r="O288" s="5" t="str">
        <f>PROPER(TRIM(SUBSTITUTE(Table1[[#This Row],[Nama_Toko]],"""","")))</f>
        <v>Minimarket Laris</v>
      </c>
      <c r="P288" s="3" t="str">
        <f>PROPER(TRIM(Table1[[#This Row],[Kategori_Produk]]))</f>
        <v>Mainan</v>
      </c>
      <c r="Q288" t="str">
        <f>PROPER(TRIM(Table1[Nama Produk]))</f>
        <v>Mainan Hewan Karet</v>
      </c>
      <c r="R288">
        <f>Table1[[#This Row],[Qty]]</f>
        <v>15</v>
      </c>
      <c r="S288" t="str">
        <f>SUBSTITUTE(SUBSTITUTE(Table1[[#This Row],[Harga_Satuan]],"Rp.",""),".","")</f>
        <v>8000</v>
      </c>
      <c r="T288">
        <f>Table1[[#This Row],[Total_Penjualan]]</f>
        <v>120000</v>
      </c>
      <c r="U288" t="str">
        <f>PROPER(Table1[[#This Row],[Kota]])</f>
        <v>Bandung</v>
      </c>
      <c r="V288" t="str">
        <f>PROPER(Table1[[#This Row],[Metode_Pembayaran]])</f>
        <v>Kartu Kredit</v>
      </c>
    </row>
    <row r="289" spans="1:22" x14ac:dyDescent="0.25">
      <c r="A289" s="8" t="s">
        <v>1561</v>
      </c>
      <c r="B289" s="5" t="s">
        <v>852</v>
      </c>
      <c r="C289" s="5" t="s">
        <v>986</v>
      </c>
      <c r="D289" s="5" t="s">
        <v>12</v>
      </c>
      <c r="E289" s="5" t="s">
        <v>1288</v>
      </c>
      <c r="F289" s="5">
        <v>10</v>
      </c>
      <c r="G289" s="5">
        <v>6000</v>
      </c>
      <c r="H289" s="5">
        <v>60000</v>
      </c>
      <c r="I289" s="5" t="s">
        <v>919</v>
      </c>
      <c r="J289" s="6" t="s">
        <v>893</v>
      </c>
      <c r="M289" s="10">
        <f>DATEVALUE(SUBSTITUTE(SUBSTITUTE(SUBSTITUTE(SUBSTITUTE(SUBSTITUTE(SUBSTITUTE(SUBSTITUTE(SUBSTITUTE(SUBSTITUTE(SUBSTITUTE(SUBSTITUTE(SUBSTITUTE(Table1[[#This Row],[Tanggal]],"Jan", "Jan"),"Feb","Feb"),"Mar","Mar"),"Apr","Apr"),"Mei","May"),"Jun","Jun"),"Jul","Jul"),"Agu","Aug"),"Sep","Sep"),"Okt","Oct"),"Nov","Nov"),"Des","Dec"))</f>
        <v>11256</v>
      </c>
      <c r="N289" t="str">
        <f>Table1[[#This Row],[ID_Transaksi]]</f>
        <v>TRX-1288</v>
      </c>
      <c r="O289" s="5" t="str">
        <f>PROPER(TRIM(SUBSTITUTE(Table1[[#This Row],[Nama_Toko]],"""","")))</f>
        <v>Toko Rizki</v>
      </c>
      <c r="P289" s="3" t="str">
        <f>PROPER(TRIM(Table1[[#This Row],[Kategori_Produk]]))</f>
        <v>Makanan</v>
      </c>
      <c r="Q289" t="str">
        <f>PROPER(TRIM(Table1[Nama Produk]))</f>
        <v>Garam Laut Murni 500G</v>
      </c>
      <c r="R289">
        <f>Table1[[#This Row],[Qty]]</f>
        <v>10</v>
      </c>
      <c r="S289" t="str">
        <f>SUBSTITUTE(SUBSTITUTE(Table1[[#This Row],[Harga_Satuan]],"Rp.",""),".","")</f>
        <v>6000</v>
      </c>
      <c r="T289">
        <f>Table1[[#This Row],[Total_Penjualan]]</f>
        <v>60000</v>
      </c>
      <c r="U289" t="str">
        <f>PROPER(Table1[[#This Row],[Kota]])</f>
        <v>Semarang</v>
      </c>
      <c r="V289" t="str">
        <f>PROPER(Table1[[#This Row],[Metode_Pembayaran]])</f>
        <v>Tunai</v>
      </c>
    </row>
    <row r="290" spans="1:22" x14ac:dyDescent="0.25">
      <c r="A290" s="7" t="s">
        <v>1562</v>
      </c>
      <c r="B290" s="3" t="s">
        <v>854</v>
      </c>
      <c r="C290" s="3" t="s">
        <v>1173</v>
      </c>
      <c r="D290" s="3" t="s">
        <v>19</v>
      </c>
      <c r="E290" s="3" t="s">
        <v>855</v>
      </c>
      <c r="F290" s="3">
        <v>1</v>
      </c>
      <c r="G290" s="3">
        <v>35000</v>
      </c>
      <c r="H290" s="3">
        <v>35000</v>
      </c>
      <c r="I290" s="3" t="s">
        <v>965</v>
      </c>
      <c r="J290" s="4" t="s">
        <v>884</v>
      </c>
      <c r="M290" s="10">
        <f>DATEVALUE(SUBSTITUTE(SUBSTITUTE(SUBSTITUTE(SUBSTITUTE(SUBSTITUTE(SUBSTITUTE(SUBSTITUTE(SUBSTITUTE(SUBSTITUTE(SUBSTITUTE(SUBSTITUTE(SUBSTITUTE(Table1[[#This Row],[Tanggal]],"Jan", "Jan"),"Feb","Feb"),"Mar","Mar"),"Apr","Apr"),"Mei","May"),"Jun","Jun"),"Jul","Jul"),"Agu","Aug"),"Sep","Sep"),"Okt","Oct"),"Nov","Nov"),"Des","Dec"))</f>
        <v>11263</v>
      </c>
      <c r="N290" t="str">
        <f>Table1[[#This Row],[ID_Transaksi]]</f>
        <v>INV-1289</v>
      </c>
      <c r="O290" s="5" t="str">
        <f>PROPER(TRIM(SUBSTITUTE(Table1[[#This Row],[Nama_Toko]],"""","")))</f>
        <v>Grosir Andal</v>
      </c>
      <c r="P290" s="3" t="str">
        <f>PROPER(TRIM(Table1[[#This Row],[Kategori_Produk]]))</f>
        <v>Minuman</v>
      </c>
      <c r="Q290" t="str">
        <f>PROPER(TRIM(Table1[Nama Produk]))</f>
        <v>Air Mineral Galon Kecil</v>
      </c>
      <c r="R290">
        <f>Table1[[#This Row],[Qty]]</f>
        <v>1</v>
      </c>
      <c r="S290" t="str">
        <f>SUBSTITUTE(SUBSTITUTE(Table1[[#This Row],[Harga_Satuan]],"Rp.",""),".","")</f>
        <v>35000</v>
      </c>
      <c r="T290">
        <f>Table1[[#This Row],[Total_Penjualan]]</f>
        <v>35000</v>
      </c>
      <c r="U290" t="str">
        <f>PROPER(Table1[[#This Row],[Kota]])</f>
        <v>Surabaya</v>
      </c>
      <c r="V290" t="str">
        <f>PROPER(Table1[[#This Row],[Metode_Pembayaran]])</f>
        <v>Kartu Debit</v>
      </c>
    </row>
    <row r="291" spans="1:22" x14ac:dyDescent="0.25">
      <c r="A291" s="8" t="s">
        <v>1563</v>
      </c>
      <c r="B291" s="5" t="s">
        <v>856</v>
      </c>
      <c r="C291" s="5" t="s">
        <v>1030</v>
      </c>
      <c r="D291" s="5" t="s">
        <v>886</v>
      </c>
      <c r="E291" s="5" t="s">
        <v>1290</v>
      </c>
      <c r="F291" s="5">
        <v>10</v>
      </c>
      <c r="G291" s="5">
        <v>10000</v>
      </c>
      <c r="H291" s="5">
        <v>100000</v>
      </c>
      <c r="I291" s="5" t="s">
        <v>937</v>
      </c>
      <c r="J291" s="6" t="s">
        <v>888</v>
      </c>
      <c r="M291" s="10">
        <f>DATEVALUE(SUBSTITUTE(SUBSTITUTE(SUBSTITUTE(SUBSTITUTE(SUBSTITUTE(SUBSTITUTE(SUBSTITUTE(SUBSTITUTE(SUBSTITUTE(SUBSTITUTE(SUBSTITUTE(SUBSTITUTE(Table1[[#This Row],[Tanggal]],"Jan", "Jan"),"Feb","Feb"),"Mar","Mar"),"Apr","Apr"),"Mei","May"),"Jun","Jun"),"Jul","Jul"),"Agu","Aug"),"Sep","Sep"),"Okt","Oct"),"Nov","Nov"),"Des","Dec"))</f>
        <v>47797</v>
      </c>
      <c r="N291" t="str">
        <f>Table1[[#This Row],[ID_Transaksi]]</f>
        <v>TRX-1290</v>
      </c>
      <c r="O291" s="5" t="str">
        <f>PROPER(TRIM(SUBSTITUTE(Table1[[#This Row],[Nama_Toko]],"""","")))</f>
        <v>Warung Nyaman</v>
      </c>
      <c r="P291" s="3" t="str">
        <f>PROPER(TRIM(Table1[[#This Row],[Kategori_Produk]]))</f>
        <v>Elektronik</v>
      </c>
      <c r="Q291" t="str">
        <f>PROPER(TRIM(Table1[Nama Produk]))</f>
        <v>Kabel Audio Jack 3.5Mm</v>
      </c>
      <c r="R291">
        <f>Table1[[#This Row],[Qty]]</f>
        <v>10</v>
      </c>
      <c r="S291" t="str">
        <f>SUBSTITUTE(SUBSTITUTE(Table1[[#This Row],[Harga_Satuan]],"Rp.",""),".","")</f>
        <v>10000</v>
      </c>
      <c r="T291">
        <f>Table1[[#This Row],[Total_Penjualan]]</f>
        <v>100000</v>
      </c>
      <c r="U291" t="str">
        <f>PROPER(Table1[[#This Row],[Kota]])</f>
        <v>Depok</v>
      </c>
      <c r="V291" t="str">
        <f>PROPER(Table1[[#This Row],[Metode_Pembayaran]])</f>
        <v>Kartu Kredit</v>
      </c>
    </row>
    <row r="292" spans="1:22" x14ac:dyDescent="0.25">
      <c r="A292" s="7" t="s">
        <v>1564</v>
      </c>
      <c r="B292" s="3" t="s">
        <v>858</v>
      </c>
      <c r="C292" s="3" t="s">
        <v>934</v>
      </c>
      <c r="D292" s="3" t="s">
        <v>890</v>
      </c>
      <c r="E292" s="3" t="s">
        <v>859</v>
      </c>
      <c r="F292" s="3">
        <v>4</v>
      </c>
      <c r="G292" s="3">
        <v>50000</v>
      </c>
      <c r="H292" s="3">
        <v>200000</v>
      </c>
      <c r="I292" s="3" t="s">
        <v>968</v>
      </c>
      <c r="J292" s="4" t="s">
        <v>893</v>
      </c>
      <c r="M292" s="10">
        <f>DATEVALUE(SUBSTITUTE(SUBSTITUTE(SUBSTITUTE(SUBSTITUTE(SUBSTITUTE(SUBSTITUTE(SUBSTITUTE(SUBSTITUTE(SUBSTITUTE(SUBSTITUTE(SUBSTITUTE(SUBSTITUTE(Table1[[#This Row],[Tanggal]],"Jan", "Jan"),"Feb","Feb"),"Mar","Mar"),"Apr","Apr"),"Mei","May"),"Jun","Jun"),"Jul","Jul"),"Agu","Aug"),"Sep","Sep"),"Okt","Oct"),"Nov","Nov"),"Des","Dec"))</f>
        <v>11282</v>
      </c>
      <c r="N292" t="str">
        <f>Table1[[#This Row],[ID_Transaksi]]</f>
        <v>INV-1291</v>
      </c>
      <c r="O292" s="5" t="str">
        <f>PROPER(TRIM(SUBSTITUTE(Table1[[#This Row],[Nama_Toko]],"""","")))</f>
        <v>Gudang Cepat</v>
      </c>
      <c r="P292" s="3" t="str">
        <f>PROPER(TRIM(Table1[[#This Row],[Kategori_Produk]]))</f>
        <v>Kecantikan</v>
      </c>
      <c r="Q292" t="str">
        <f>PROPER(TRIM(Table1[Nama Produk]))</f>
        <v>Pembersih Kuas Makeup</v>
      </c>
      <c r="R292">
        <f>Table1[[#This Row],[Qty]]</f>
        <v>4</v>
      </c>
      <c r="S292" t="str">
        <f>SUBSTITUTE(SUBSTITUTE(Table1[[#This Row],[Harga_Satuan]],"Rp.",""),".","")</f>
        <v>50000</v>
      </c>
      <c r="T292">
        <f>Table1[[#This Row],[Total_Penjualan]]</f>
        <v>200000</v>
      </c>
      <c r="U292" t="str">
        <f>PROPER(Table1[[#This Row],[Kota]])</f>
        <v>Jakarta Selatan</v>
      </c>
      <c r="V292" t="str">
        <f>PROPER(Table1[[#This Row],[Metode_Pembayaran]])</f>
        <v>Tunai</v>
      </c>
    </row>
    <row r="293" spans="1:22" x14ac:dyDescent="0.25">
      <c r="A293" s="8" t="s">
        <v>1565</v>
      </c>
      <c r="B293" s="5" t="s">
        <v>860</v>
      </c>
      <c r="C293" s="5" t="s">
        <v>1291</v>
      </c>
      <c r="D293" s="5" t="s">
        <v>895</v>
      </c>
      <c r="E293" s="5" t="s">
        <v>1292</v>
      </c>
      <c r="F293" s="5">
        <v>5</v>
      </c>
      <c r="G293" s="5">
        <v>40000</v>
      </c>
      <c r="H293" s="5">
        <v>200000</v>
      </c>
      <c r="I293" s="5" t="s">
        <v>915</v>
      </c>
      <c r="J293" s="6" t="s">
        <v>884</v>
      </c>
      <c r="M293" s="10">
        <f>DATEVALUE(SUBSTITUTE(SUBSTITUTE(SUBSTITUTE(SUBSTITUTE(SUBSTITUTE(SUBSTITUTE(SUBSTITUTE(SUBSTITUTE(SUBSTITUTE(SUBSTITUTE(SUBSTITUTE(SUBSTITUTE(Table1[[#This Row],[Tanggal]],"Jan", "Jan"),"Feb","Feb"),"Mar","Mar"),"Apr","Apr"),"Mei","May"),"Jun","Jun"),"Jul","Jul"),"Agu","Aug"),"Sep","Sep"),"Okt","Oct"),"Nov","Nov"),"Des","Dec"))</f>
        <v>11293</v>
      </c>
      <c r="N293" t="str">
        <f>Table1[[#This Row],[ID_Transaksi]]</f>
        <v>TRX-1292</v>
      </c>
      <c r="O293" s="5" t="str">
        <f>PROPER(TRIM(SUBSTITUTE(Table1[[#This Row],[Nama_Toko]],"""","")))</f>
        <v>Toko Mega</v>
      </c>
      <c r="P293" s="3" t="str">
        <f>PROPER(TRIM(Table1[[#This Row],[Kategori_Produk]]))</f>
        <v>Makanan</v>
      </c>
      <c r="Q293" t="str">
        <f>PROPER(TRIM(Table1[Nama Produk]))</f>
        <v>Nugget Ayam Beku 500G</v>
      </c>
      <c r="R293">
        <f>Table1[[#This Row],[Qty]]</f>
        <v>5</v>
      </c>
      <c r="S293" t="str">
        <f>SUBSTITUTE(SUBSTITUTE(Table1[[#This Row],[Harga_Satuan]],"Rp.",""),".","")</f>
        <v>40000</v>
      </c>
      <c r="T293">
        <f>Table1[[#This Row],[Total_Penjualan]]</f>
        <v>200000</v>
      </c>
      <c r="U293" t="str">
        <f>PROPER(Table1[[#This Row],[Kota]])</f>
        <v>Medan</v>
      </c>
      <c r="V293" t="str">
        <f>PROPER(Table1[[#This Row],[Metode_Pembayaran]])</f>
        <v>Kartu Debit</v>
      </c>
    </row>
    <row r="294" spans="1:22" x14ac:dyDescent="0.25">
      <c r="A294" s="7" t="s">
        <v>1289</v>
      </c>
      <c r="B294" s="3" t="s">
        <v>862</v>
      </c>
      <c r="C294" s="3" t="s">
        <v>1293</v>
      </c>
      <c r="D294" s="3" t="s">
        <v>43</v>
      </c>
      <c r="E294" s="3" t="s">
        <v>863</v>
      </c>
      <c r="F294" s="3">
        <v>3</v>
      </c>
      <c r="G294" s="3">
        <v>70000</v>
      </c>
      <c r="H294" s="3">
        <v>210000</v>
      </c>
      <c r="I294" s="3" t="s">
        <v>913</v>
      </c>
      <c r="J294" s="4" t="s">
        <v>880</v>
      </c>
      <c r="M294" s="10">
        <f>DATEVALUE(SUBSTITUTE(SUBSTITUTE(SUBSTITUTE(SUBSTITUTE(SUBSTITUTE(SUBSTITUTE(SUBSTITUTE(SUBSTITUTE(SUBSTITUTE(SUBSTITUTE(SUBSTITUTE(SUBSTITUTE(Table1[[#This Row],[Tanggal]],"Jan", "Jan"),"Feb","Feb"),"Mar","Mar"),"Apr","Apr"),"Mei","May"),"Jun","Jun"),"Jul","Jul"),"Agu","Aug"),"Sep","Sep"),"Okt","Oct"),"Nov","Nov"),"Des","Dec"))</f>
        <v>47832</v>
      </c>
      <c r="N294" t="str">
        <f>Table1[[#This Row],[ID_Transaksi]]</f>
        <v>INV-1293</v>
      </c>
      <c r="O294" s="5" t="str">
        <f>PROPER(TRIM(SUBSTITUTE(Table1[[#This Row],[Nama_Toko]],"""","")))</f>
        <v>Pasar Senja Indah</v>
      </c>
      <c r="P294" s="3" t="str">
        <f>PROPER(TRIM(Table1[[#This Row],[Kategori_Produk]]))</f>
        <v>Pakaian</v>
      </c>
      <c r="Q294" t="str">
        <f>PROPER(TRIM(Table1[Nama Produk]))</f>
        <v>Syal Rajut Panjang</v>
      </c>
      <c r="R294">
        <f>Table1[[#This Row],[Qty]]</f>
        <v>3</v>
      </c>
      <c r="S294" t="str">
        <f>SUBSTITUTE(SUBSTITUTE(Table1[[#This Row],[Harga_Satuan]],"Rp.",""),".","")</f>
        <v>70000</v>
      </c>
      <c r="T294">
        <f>Table1[[#This Row],[Total_Penjualan]]</f>
        <v>210000</v>
      </c>
      <c r="U294" t="str">
        <f>PROPER(Table1[[#This Row],[Kota]])</f>
        <v>Yogyakarta</v>
      </c>
      <c r="V294" t="str">
        <f>PROPER(Table1[[#This Row],[Metode_Pembayaran]])</f>
        <v>Tunai</v>
      </c>
    </row>
    <row r="295" spans="1:22" x14ac:dyDescent="0.25">
      <c r="A295" s="8" t="s">
        <v>1566</v>
      </c>
      <c r="B295" s="5" t="s">
        <v>864</v>
      </c>
      <c r="C295" s="5" t="s">
        <v>1133</v>
      </c>
      <c r="D295" s="5" t="s">
        <v>901</v>
      </c>
      <c r="E295" s="5" t="s">
        <v>865</v>
      </c>
      <c r="F295" s="5">
        <v>1</v>
      </c>
      <c r="G295" s="5">
        <v>180000</v>
      </c>
      <c r="H295" s="5">
        <v>180000</v>
      </c>
      <c r="I295" s="5" t="s">
        <v>960</v>
      </c>
      <c r="J295" s="6" t="s">
        <v>29</v>
      </c>
      <c r="M295" s="10">
        <f>DATEVALUE(SUBSTITUTE(SUBSTITUTE(SUBSTITUTE(SUBSTITUTE(SUBSTITUTE(SUBSTITUTE(SUBSTITUTE(SUBSTITUTE(SUBSTITUTE(SUBSTITUTE(SUBSTITUTE(SUBSTITUTE(Table1[[#This Row],[Tanggal]],"Jan", "Jan"),"Feb","Feb"),"Mar","Mar"),"Apr","Apr"),"Mei","May"),"Jun","Jun"),"Jul","Jul"),"Agu","Aug"),"Sep","Sep"),"Okt","Oct"),"Nov","Nov"),"Des","Dec"))</f>
        <v>11317</v>
      </c>
      <c r="N295" t="str">
        <f>Table1[[#This Row],[ID_Transaksi]]</f>
        <v>TRX-1294</v>
      </c>
      <c r="O295" s="5" t="str">
        <f>PROPER(TRIM(SUBSTITUTE(Table1[[#This Row],[Nama_Toko]],"""","")))</f>
        <v>Minimarket Terdekat</v>
      </c>
      <c r="P295" s="3" t="str">
        <f>PROPER(TRIM(Table1[[#This Row],[Kategori_Produk]]))</f>
        <v>Mainan</v>
      </c>
      <c r="Q295" t="str">
        <f>PROPER(TRIM(Table1[Nama Produk]))</f>
        <v>Set Mainan Kereta Api</v>
      </c>
      <c r="R295">
        <f>Table1[[#This Row],[Qty]]</f>
        <v>1</v>
      </c>
      <c r="S295" t="str">
        <f>SUBSTITUTE(SUBSTITUTE(Table1[[#This Row],[Harga_Satuan]],"Rp.",""),".","")</f>
        <v>180000</v>
      </c>
      <c r="T295">
        <f>Table1[[#This Row],[Total_Penjualan]]</f>
        <v>180000</v>
      </c>
      <c r="U295" t="str">
        <f>PROPER(Table1[[#This Row],[Kota]])</f>
        <v>Malang</v>
      </c>
      <c r="V295" t="str">
        <f>PROPER(Table1[[#This Row],[Metode_Pembayaran]])</f>
        <v>Kartu Kredit</v>
      </c>
    </row>
    <row r="296" spans="1:22" x14ac:dyDescent="0.25">
      <c r="A296" s="7" t="s">
        <v>1567</v>
      </c>
      <c r="B296" s="3" t="s">
        <v>866</v>
      </c>
      <c r="C296" s="3" t="s">
        <v>1294</v>
      </c>
      <c r="D296" s="3" t="s">
        <v>12</v>
      </c>
      <c r="E296" s="3" t="s">
        <v>867</v>
      </c>
      <c r="F296" s="3">
        <v>6</v>
      </c>
      <c r="G296" s="3">
        <v>28000</v>
      </c>
      <c r="H296" s="3">
        <v>168000</v>
      </c>
      <c r="I296" s="3" t="s">
        <v>21</v>
      </c>
      <c r="J296" s="4" t="s">
        <v>893</v>
      </c>
      <c r="M296" s="10">
        <f>DATEVALUE(SUBSTITUTE(SUBSTITUTE(SUBSTITUTE(SUBSTITUTE(SUBSTITUTE(SUBSTITUTE(SUBSTITUTE(SUBSTITUTE(SUBSTITUTE(SUBSTITUTE(SUBSTITUTE(SUBSTITUTE(Table1[[#This Row],[Tanggal]],"Jan", "Jan"),"Feb","Feb"),"Mar","Mar"),"Apr","Apr"),"Mei","May"),"Jun","Jun"),"Jul","Jul"),"Agu","Aug"),"Sep","Sep"),"Okt","Oct"),"Nov","Nov"),"Des","Dec"))</f>
        <v>11328</v>
      </c>
      <c r="N296" t="str">
        <f>Table1[[#This Row],[ID_Transaksi]]</f>
        <v>INV-1295</v>
      </c>
      <c r="O296" s="5" t="str">
        <f>PROPER(TRIM(SUBSTITUTE(Table1[[#This Row],[Nama_Toko]],"""","")))</f>
        <v>Toko Hoki</v>
      </c>
      <c r="P296" s="3" t="str">
        <f>PROPER(TRIM(Table1[[#This Row],[Kategori_Produk]]))</f>
        <v>Makanan</v>
      </c>
      <c r="Q296" t="str">
        <f>PROPER(TRIM(Table1[Nama Produk]))</f>
        <v>Keju Parut Cheddar</v>
      </c>
      <c r="R296">
        <f>Table1[[#This Row],[Qty]]</f>
        <v>6</v>
      </c>
      <c r="S296" t="str">
        <f>SUBSTITUTE(SUBSTITUTE(Table1[[#This Row],[Harga_Satuan]],"Rp.",""),".","")</f>
        <v>28000</v>
      </c>
      <c r="T296">
        <f>Table1[[#This Row],[Total_Penjualan]]</f>
        <v>168000</v>
      </c>
      <c r="U296" t="str">
        <f>PROPER(Table1[[#This Row],[Kota]])</f>
        <v>Bandung</v>
      </c>
      <c r="V296" t="str">
        <f>PROPER(Table1[[#This Row],[Metode_Pembayaran]])</f>
        <v>Tunai</v>
      </c>
    </row>
    <row r="297" spans="1:22" x14ac:dyDescent="0.25">
      <c r="A297" s="8" t="s">
        <v>1568</v>
      </c>
      <c r="B297" s="5" t="s">
        <v>868</v>
      </c>
      <c r="C297" s="5" t="s">
        <v>1029</v>
      </c>
      <c r="D297" s="5" t="s">
        <v>19</v>
      </c>
      <c r="E297" s="5" t="s">
        <v>869</v>
      </c>
      <c r="F297" s="5">
        <v>8</v>
      </c>
      <c r="G297" s="5">
        <v>12000</v>
      </c>
      <c r="H297" s="5">
        <v>96000</v>
      </c>
      <c r="I297" s="5" t="s">
        <v>932</v>
      </c>
      <c r="J297" s="6" t="s">
        <v>884</v>
      </c>
      <c r="M297" s="10">
        <f>DATEVALUE(SUBSTITUTE(SUBSTITUTE(SUBSTITUTE(SUBSTITUTE(SUBSTITUTE(SUBSTITUTE(SUBSTITUTE(SUBSTITUTE(SUBSTITUTE(SUBSTITUTE(SUBSTITUTE(SUBSTITUTE(Table1[[#This Row],[Tanggal]],"Jan", "Jan"),"Feb","Feb"),"Mar","Mar"),"Apr","Apr"),"Mei","May"),"Jun","Jun"),"Jul","Jul"),"Agu","Aug"),"Sep","Sep"),"Okt","Oct"),"Nov","Nov"),"Des","Dec"))</f>
        <v>47863</v>
      </c>
      <c r="N297" t="str">
        <f>Table1[[#This Row],[ID_Transaksi]]</f>
        <v>TRX-1296</v>
      </c>
      <c r="O297" s="5" t="str">
        <f>PROPER(TRIM(SUBSTITUTE(Table1[[#This Row],[Nama_Toko]],"""","")))</f>
        <v>Grosir Utama</v>
      </c>
      <c r="P297" s="3" t="str">
        <f>PROPER(TRIM(Table1[[#This Row],[Kategori_Produk]]))</f>
        <v>Minuman</v>
      </c>
      <c r="Q297" t="str">
        <f>PROPER(TRIM(Table1[Nama Produk]))</f>
        <v>Teh Lemon Dingin Instan</v>
      </c>
      <c r="R297">
        <f>Table1[[#This Row],[Qty]]</f>
        <v>8</v>
      </c>
      <c r="S297" t="str">
        <f>SUBSTITUTE(SUBSTITUTE(Table1[[#This Row],[Harga_Satuan]],"Rp.",""),".","")</f>
        <v>12000</v>
      </c>
      <c r="T297">
        <f>Table1[[#This Row],[Total_Penjualan]]</f>
        <v>96000</v>
      </c>
      <c r="U297" t="str">
        <f>PROPER(Table1[[#This Row],[Kota]])</f>
        <v>Semarang</v>
      </c>
      <c r="V297" t="str">
        <f>PROPER(Table1[[#This Row],[Metode_Pembayaran]])</f>
        <v>Kartu Debit</v>
      </c>
    </row>
    <row r="298" spans="1:22" x14ac:dyDescent="0.25">
      <c r="A298" s="7" t="s">
        <v>1569</v>
      </c>
      <c r="B298" s="3" t="s">
        <v>870</v>
      </c>
      <c r="C298" s="3" t="s">
        <v>1126</v>
      </c>
      <c r="D298" s="3" t="s">
        <v>886</v>
      </c>
      <c r="E298" s="3" t="s">
        <v>1295</v>
      </c>
      <c r="F298" s="3">
        <v>1</v>
      </c>
      <c r="G298" s="3">
        <v>150000</v>
      </c>
      <c r="H298" s="3">
        <v>150000</v>
      </c>
      <c r="I298" s="3" t="s">
        <v>951</v>
      </c>
      <c r="J298" s="4" t="s">
        <v>888</v>
      </c>
      <c r="M298" s="10">
        <f>DATEVALUE(SUBSTITUTE(SUBSTITUTE(SUBSTITUTE(SUBSTITUTE(SUBSTITUTE(SUBSTITUTE(SUBSTITUTE(SUBSTITUTE(SUBSTITUTE(SUBSTITUTE(SUBSTITUTE(SUBSTITUTE(Table1[[#This Row],[Tanggal]],"Jan", "Jan"),"Feb","Feb"),"Mar","Mar"),"Apr","Apr"),"Mei","May"),"Jun","Jun"),"Jul","Jul"),"Agu","Aug"),"Sep","Sep"),"Okt","Oct"),"Nov","Nov"),"Des","Dec"))</f>
        <v>11348</v>
      </c>
      <c r="N298" t="str">
        <f>Table1[[#This Row],[ID_Transaksi]]</f>
        <v>INV-1297</v>
      </c>
      <c r="O298" s="5" t="str">
        <f>PROPER(TRIM(SUBSTITUTE(Table1[[#This Row],[Nama_Toko]],"""","")))</f>
        <v>Warung Berkah</v>
      </c>
      <c r="P298" s="3" t="str">
        <f>PROPER(TRIM(Table1[[#This Row],[Kategori_Produk]]))</f>
        <v>Elektronik</v>
      </c>
      <c r="Q298" t="str">
        <f>PROPER(TRIM(Table1[Nama Produk]))</f>
        <v>Lampu Uv Sterilisasi Portabel</v>
      </c>
      <c r="R298">
        <f>Table1[[#This Row],[Qty]]</f>
        <v>1</v>
      </c>
      <c r="S298" t="str">
        <f>SUBSTITUTE(SUBSTITUTE(Table1[[#This Row],[Harga_Satuan]],"Rp.",""),".","")</f>
        <v>150000</v>
      </c>
      <c r="T298">
        <f>Table1[[#This Row],[Total_Penjualan]]</f>
        <v>150000</v>
      </c>
      <c r="U298" t="str">
        <f>PROPER(Table1[[#This Row],[Kota]])</f>
        <v>Surabaya</v>
      </c>
      <c r="V298" t="str">
        <f>PROPER(Table1[[#This Row],[Metode_Pembayaran]])</f>
        <v>Kartu Kredit</v>
      </c>
    </row>
    <row r="299" spans="1:22" x14ac:dyDescent="0.25">
      <c r="A299" s="8" t="s">
        <v>1570</v>
      </c>
      <c r="B299" s="5" t="s">
        <v>872</v>
      </c>
      <c r="C299" s="5" t="s">
        <v>1296</v>
      </c>
      <c r="D299" s="5" t="s">
        <v>890</v>
      </c>
      <c r="E299" s="5" t="s">
        <v>873</v>
      </c>
      <c r="F299" s="5">
        <v>2</v>
      </c>
      <c r="G299" s="5">
        <v>80000</v>
      </c>
      <c r="H299" s="5">
        <v>160000</v>
      </c>
      <c r="I299" s="5" t="s">
        <v>923</v>
      </c>
      <c r="J299" s="6" t="s">
        <v>893</v>
      </c>
      <c r="M299" s="10">
        <f>DATEVALUE(SUBSTITUTE(SUBSTITUTE(SUBSTITUTE(SUBSTITUTE(SUBSTITUTE(SUBSTITUTE(SUBSTITUTE(SUBSTITUTE(SUBSTITUTE(SUBSTITUTE(SUBSTITUTE(SUBSTITUTE(Table1[[#This Row],[Tanggal]],"Jan", "Jan"),"Feb","Feb"),"Mar","Mar"),"Apr","Apr"),"Mei","May"),"Jun","Jun"),"Jul","Jul"),"Agu","Aug"),"Sep","Sep"),"Okt","Oct"),"Nov","Nov"),"Des","Dec"))</f>
        <v>11355</v>
      </c>
      <c r="N299" t="str">
        <f>Table1[[#This Row],[ID_Transaksi]]</f>
        <v>TRX-1298</v>
      </c>
      <c r="O299" s="5" t="str">
        <f>PROPER(TRIM(SUBSTITUTE(Table1[[#This Row],[Nama_Toko]],"""","")))</f>
        <v>Gudang Besar</v>
      </c>
      <c r="P299" s="3" t="str">
        <f>PROPER(TRIM(Table1[[#This Row],[Kategori_Produk]]))</f>
        <v>Kecantikan</v>
      </c>
      <c r="Q299" t="str">
        <f>PROPER(TRIM(Table1[Nama Produk]))</f>
        <v>Lipstik Matte Nude</v>
      </c>
      <c r="R299">
        <f>Table1[[#This Row],[Qty]]</f>
        <v>2</v>
      </c>
      <c r="S299" t="str">
        <f>SUBSTITUTE(SUBSTITUTE(Table1[[#This Row],[Harga_Satuan]],"Rp.",""),".","")</f>
        <v>80000</v>
      </c>
      <c r="T299">
        <f>Table1[[#This Row],[Total_Penjualan]]</f>
        <v>160000</v>
      </c>
      <c r="U299" t="str">
        <f>PROPER(Table1[[#This Row],[Kota]])</f>
        <v>Denpasar</v>
      </c>
      <c r="V299" t="str">
        <f>PROPER(Table1[[#This Row],[Metode_Pembayaran]])</f>
        <v>Tunai</v>
      </c>
    </row>
    <row r="300" spans="1:22" x14ac:dyDescent="0.25">
      <c r="A300" s="7" t="s">
        <v>1571</v>
      </c>
      <c r="B300" s="3" t="s">
        <v>874</v>
      </c>
      <c r="C300" s="3" t="s">
        <v>1297</v>
      </c>
      <c r="D300" s="3" t="s">
        <v>895</v>
      </c>
      <c r="E300" s="3" t="s">
        <v>1298</v>
      </c>
      <c r="F300" s="3">
        <v>10</v>
      </c>
      <c r="G300" s="3">
        <v>20000</v>
      </c>
      <c r="H300" s="3">
        <v>200000</v>
      </c>
      <c r="I300" s="3" t="s">
        <v>978</v>
      </c>
      <c r="J300" s="4" t="s">
        <v>884</v>
      </c>
      <c r="M300" s="10">
        <f>DATEVALUE(SUBSTITUTE(SUBSTITUTE(SUBSTITUTE(SUBSTITUTE(SUBSTITUTE(SUBSTITUTE(SUBSTITUTE(SUBSTITUTE(SUBSTITUTE(SUBSTITUTE(SUBSTITUTE(SUBSTITUTE(Table1[[#This Row],[Tanggal]],"Jan", "Jan"),"Feb","Feb"),"Mar","Mar"),"Apr","Apr"),"Mei","May"),"Jun","Jun"),"Jul","Jul"),"Agu","Aug"),"Sep","Sep"),"Okt","Oct"),"Nov","Nov"),"Des","Dec"))</f>
        <v>47889</v>
      </c>
      <c r="N300" t="str">
        <f>Table1[[#This Row],[ID_Transaksi]]</f>
        <v>INV-1299</v>
      </c>
      <c r="O300" s="5" t="str">
        <f>PROPER(TRIM(SUBSTITUTE(Table1[[#This Row],[Nama_Toko]],"""","")))</f>
        <v>Toko Bersama</v>
      </c>
      <c r="P300" s="3" t="str">
        <f>PROPER(TRIM(Table1[[#This Row],[Kategori_Produk]]))</f>
        <v>Makanan</v>
      </c>
      <c r="Q300" t="str">
        <f>PROPER(TRIM(Table1[Nama Produk]))</f>
        <v>Kopi Bubuk Kapal Api</v>
      </c>
      <c r="R300">
        <f>Table1[[#This Row],[Qty]]</f>
        <v>10</v>
      </c>
      <c r="S300" t="str">
        <f>SUBSTITUTE(SUBSTITUTE(Table1[[#This Row],[Harga_Satuan]],"Rp.",""),".","")</f>
        <v>20000</v>
      </c>
      <c r="T300">
        <f>Table1[[#This Row],[Total_Penjualan]]</f>
        <v>200000</v>
      </c>
      <c r="U300" t="str">
        <f>PROPER(Table1[[#This Row],[Kota]])</f>
        <v>Jakarta</v>
      </c>
      <c r="V300" t="str">
        <f>PROPER(Table1[[#This Row],[Metode_Pembayaran]])</f>
        <v>Kartu Debit</v>
      </c>
    </row>
    <row r="301" spans="1:22" x14ac:dyDescent="0.25">
      <c r="A301" s="8" t="s">
        <v>1572</v>
      </c>
      <c r="B301" s="17" t="s">
        <v>876</v>
      </c>
      <c r="C301" s="17" t="s">
        <v>1299</v>
      </c>
      <c r="D301" s="17" t="s">
        <v>43</v>
      </c>
      <c r="E301" s="17" t="s">
        <v>877</v>
      </c>
      <c r="F301" s="17">
        <v>5</v>
      </c>
      <c r="G301" s="17">
        <v>45000</v>
      </c>
      <c r="H301" s="17">
        <v>225000</v>
      </c>
      <c r="I301" s="17" t="s">
        <v>915</v>
      </c>
      <c r="J301" s="18" t="s">
        <v>880</v>
      </c>
      <c r="M301" s="10">
        <f>DATEVALUE(SUBSTITUTE(SUBSTITUTE(SUBSTITUTE(SUBSTITUTE(SUBSTITUTE(SUBSTITUTE(SUBSTITUTE(SUBSTITUTE(SUBSTITUTE(SUBSTITUTE(SUBSTITUTE(SUBSTITUTE(Table1[[#This Row],[Tanggal]],"Jan", "Jan"),"Feb","Feb"),"Mar","Mar"),"Apr","Apr"),"Mei","May"),"Jun","Jun"),"Jul","Jul"),"Agu","Aug"),"Sep","Sep"),"Okt","Oct"),"Nov","Nov"),"Des","Dec"))</f>
        <v>11374</v>
      </c>
      <c r="N301" t="str">
        <f>Table1[[#This Row],[ID_Transaksi]]</f>
        <v>TRX-1300</v>
      </c>
      <c r="O301" s="5" t="str">
        <f>PROPER(TRIM(SUBSTITUTE(Table1[[#This Row],[Nama_Toko]],"""","")))</f>
        <v>Pasar Pagi</v>
      </c>
      <c r="P301" s="3" t="str">
        <f>PROPER(TRIM(Table1[[#This Row],[Kategori_Produk]]))</f>
        <v>Pakaian</v>
      </c>
      <c r="Q301" t="str">
        <f>PROPER(TRIM(Table1[Nama Produk]))</f>
        <v>Jilbab Pashmina Motif</v>
      </c>
      <c r="R301">
        <f>Table1[[#This Row],[Qty]]</f>
        <v>5</v>
      </c>
      <c r="S301" t="str">
        <f>SUBSTITUTE(SUBSTITUTE(Table1[[#This Row],[Harga_Satuan]],"Rp.",""),".","")</f>
        <v>45000</v>
      </c>
      <c r="T301">
        <f>Table1[[#This Row],[Total_Penjualan]]</f>
        <v>225000</v>
      </c>
      <c r="U301" t="str">
        <f>PROPER(Table1[[#This Row],[Kota]])</f>
        <v>Medan</v>
      </c>
      <c r="V301" t="str">
        <f>PROPER(Table1[[#This Row],[Metode_Pembayaran]])</f>
        <v>Tunai</v>
      </c>
    </row>
    <row r="302" spans="1:22" x14ac:dyDescent="0.25">
      <c r="A302" s="7" t="s">
        <v>1573</v>
      </c>
      <c r="B302" s="5"/>
      <c r="C302" s="5"/>
      <c r="D302" s="5"/>
      <c r="E302" s="5"/>
      <c r="F302" s="5"/>
      <c r="G302" s="5"/>
      <c r="H302" s="5"/>
      <c r="I302" s="5"/>
      <c r="J302" s="6"/>
    </row>
    <row r="303" spans="1:22" x14ac:dyDescent="0.25">
      <c r="A303" s="8" t="s">
        <v>1574</v>
      </c>
      <c r="B303" s="5"/>
      <c r="C303" s="5"/>
      <c r="D303" s="5"/>
      <c r="E303" s="5"/>
      <c r="F303" s="5"/>
      <c r="G303" s="5"/>
      <c r="H303" s="5"/>
      <c r="I303" s="5"/>
      <c r="J303" s="6"/>
    </row>
    <row r="304" spans="1:22" x14ac:dyDescent="0.25">
      <c r="A304" s="7" t="s">
        <v>1575</v>
      </c>
      <c r="B304" s="5"/>
      <c r="C304" s="5"/>
      <c r="D304" s="5"/>
      <c r="E304" s="5"/>
      <c r="F304" s="5"/>
      <c r="G304" s="5"/>
      <c r="H304" s="5"/>
      <c r="I304" s="5"/>
      <c r="J304" s="6"/>
    </row>
    <row r="305" spans="1:10" x14ac:dyDescent="0.25">
      <c r="A305" s="22" t="s">
        <v>1576</v>
      </c>
      <c r="B305" s="5"/>
      <c r="C305" s="5"/>
      <c r="D305" s="5"/>
      <c r="E305" s="5"/>
      <c r="F305" s="5"/>
      <c r="G305" s="5"/>
      <c r="H305" s="5"/>
      <c r="I305" s="5"/>
      <c r="J305" s="6"/>
    </row>
    <row r="306" spans="1:10" x14ac:dyDescent="0.25">
      <c r="A306" s="20"/>
      <c r="B306" s="3" t="s">
        <v>876</v>
      </c>
      <c r="C306" s="3"/>
      <c r="D306" s="3"/>
      <c r="E306" s="3"/>
      <c r="F306" s="3"/>
      <c r="G306" s="3"/>
      <c r="H306" s="3"/>
      <c r="I306" s="3"/>
      <c r="J306" s="4"/>
    </row>
  </sheetData>
  <phoneticPr fontId="18"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42BD75-8F2F-45A7-A137-84A133B7E0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Predeksi</vt:lpstr>
      <vt:lpstr>PivotTable</vt:lpstr>
      <vt:lpstr>Data Clean</vt:lpstr>
      <vt:lpstr>Data Mentah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Muh Hafiz</cp:lastModifiedBy>
  <cp:lastPrinted>2025-12-23T02:45:02Z</cp:lastPrinted>
  <dcterms:created xsi:type="dcterms:W3CDTF">2025-12-20T00:45:48Z</dcterms:created>
  <dcterms:modified xsi:type="dcterms:W3CDTF">2025-12-23T03:02:57Z</dcterms:modified>
</cp:coreProperties>
</file>